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gar\Desktop\NEAD\lxpecto-patronum\"/>
    </mc:Choice>
  </mc:AlternateContent>
  <bookViews>
    <workbookView xWindow="0" yWindow="0" windowWidth="12770" windowHeight="4250" tabRatio="921" activeTab="1"/>
  </bookViews>
  <sheets>
    <sheet name="0.0 Leia-me" sheetId="1" r:id="rId1"/>
    <sheet name="0.1 Parametros" sheetId="2" r:id="rId2"/>
    <sheet name="1.1 Modalidades" sheetId="3" r:id="rId3"/>
    <sheet name="1.2 Niveis Ensino" sheetId="4" r:id="rId4"/>
    <sheet name="1.3 Categorias Disc" sheetId="5" r:id="rId5"/>
    <sheet name="1.4 Turnos" sheetId="6" r:id="rId6"/>
    <sheet name="1.5 Campus" sheetId="7" r:id="rId7"/>
    <sheet name="1.6 Polos" sheetId="8" r:id="rId8"/>
    <sheet name="1.7 Sit Matricula" sheetId="9" r:id="rId9"/>
    <sheet name="1.8 Sit Enturmacao" sheetId="10" r:id="rId10"/>
    <sheet name="1.9 Tipos Matricula" sheetId="11" r:id="rId11"/>
    <sheet name="1.10 Papeis TD" sheetId="12" r:id="rId12"/>
    <sheet name="1.11 Turmas" sheetId="13" r:id="rId13"/>
    <sheet name="1.12 Pessoas" sheetId="14" r:id="rId14"/>
    <sheet name="2.1 Cursos" sheetId="15" r:id="rId15"/>
    <sheet name="2.2 Disciplinas" sheetId="16" r:id="rId16"/>
    <sheet name="2.3 Periodos" sheetId="17" r:id="rId17"/>
    <sheet name="2.4 Curriculos" sheetId="18" r:id="rId18"/>
    <sheet name="2.5 Disc Curriculos" sheetId="19" r:id="rId19"/>
    <sheet name="2.6 Turmas Disc" sheetId="20" r:id="rId20"/>
    <sheet name="3.1 Coordenadores" sheetId="21" r:id="rId21"/>
    <sheet name="3.2 Estudantes" sheetId="22" r:id="rId22"/>
    <sheet name="3.3 Coord Cursos" sheetId="23" r:id="rId23"/>
    <sheet name="3.4 Pessoas TD" sheetId="24" r:id="rId24"/>
    <sheet name="4.1 Grupos Matricula" sheetId="25" r:id="rId25"/>
    <sheet name="4.2 Matriculas" sheetId="26" r:id="rId26"/>
    <sheet name="4.3 Matriculas Periodo" sheetId="27" r:id="rId27"/>
    <sheet name="4.4 Enturmacoes" sheetId="28" r:id="rId28"/>
    <sheet name="5.1 Conjunto Grupos" sheetId="29" r:id="rId29"/>
    <sheet name="5.2 Grupos" sheetId="30" r:id="rId30"/>
    <sheet name="5.3 Pessoas Grupos" sheetId="31" r:id="rId31"/>
    <sheet name="6.1 Alteracao Codigo" sheetId="32" r:id="rId32"/>
    <sheet name="Listas" sheetId="33" r:id="rId33"/>
  </sheets>
  <definedNames>
    <definedName name="_xlnm._FilterDatabase" localSheetId="2" hidden="1">'1.1 Modalidades'!$A$1:$C$1</definedName>
    <definedName name="_xlnm._FilterDatabase" localSheetId="11" hidden="1">'1.10 Papeis TD'!$A$1:$C$1</definedName>
    <definedName name="_xlnm._FilterDatabase" localSheetId="12" hidden="1">'1.11 Turmas'!$A$1:$C$1</definedName>
    <definedName name="_xlnm._FilterDatabase" localSheetId="13" hidden="1">'1.12 Pessoas'!$A$1:$R$1</definedName>
    <definedName name="_xlnm._FilterDatabase" localSheetId="3" hidden="1">'1.2 Niveis Ensino'!$A$1:$C$1</definedName>
    <definedName name="_xlnm._FilterDatabase" localSheetId="4" hidden="1">'1.3 Categorias Disc'!$A$1:$D$1</definedName>
    <definedName name="_xlnm._FilterDatabase" localSheetId="5" hidden="1">'1.4 Turnos'!$A$1:$B$1</definedName>
    <definedName name="_xlnm._FilterDatabase" localSheetId="6" hidden="1">'1.5 Campus'!$A$1:$D$1</definedName>
    <definedName name="_xlnm._FilterDatabase" localSheetId="7" hidden="1">'1.6 Polos'!$A$1:$C$1</definedName>
    <definedName name="_xlnm._FilterDatabase" localSheetId="8" hidden="1">'1.7 Sit Matricula'!$A$1:$C$1</definedName>
    <definedName name="_xlnm._FilterDatabase" localSheetId="9" hidden="1">'1.8 Sit Enturmacao'!$A$1:$C$1</definedName>
    <definedName name="_xlnm._FilterDatabase" localSheetId="10" hidden="1">'1.9 Tipos Matricula'!$A$1:$B$1</definedName>
    <definedName name="_xlnm._FilterDatabase" localSheetId="14" hidden="1">'2.1 Cursos'!$A$1:$F$1</definedName>
    <definedName name="_xlnm._FilterDatabase" localSheetId="15" hidden="1">'2.2 Disciplinas'!$A$1:$E$1</definedName>
    <definedName name="_xlnm._FilterDatabase" localSheetId="16" hidden="1">'2.3 Periodos'!$A$1:$G$1</definedName>
    <definedName name="_xlnm._FilterDatabase" localSheetId="17" hidden="1">'2.4 Curriculos'!$A$1:$G$1</definedName>
    <definedName name="_xlnm._FilterDatabase" localSheetId="18" hidden="1">'2.5 Disc Curriculos'!$A$1:$F$1</definedName>
    <definedName name="_xlnm._FilterDatabase" localSheetId="19" hidden="1">'2.6 Turmas Disc'!$A$1:$P$1</definedName>
    <definedName name="_xlnm._FilterDatabase" localSheetId="20" hidden="1">'3.1 Coordenadores'!$A$1:$B$1</definedName>
    <definedName name="_xlnm._FilterDatabase" localSheetId="21" hidden="1">'3.2 Estudantes'!$A$1:$B$1</definedName>
    <definedName name="_xlnm._FilterDatabase" localSheetId="22" hidden="1">'3.3 Coord Cursos'!$A$1:$E$1</definedName>
    <definedName name="_xlnm._FilterDatabase" localSheetId="23" hidden="1">'3.4 Pessoas TD'!$A$1:$F$1</definedName>
    <definedName name="_xlnm._FilterDatabase" localSheetId="24" hidden="1">'4.1 Grupos Matricula'!$A$1:$E$1</definedName>
    <definedName name="_xlnm._FilterDatabase" localSheetId="25" hidden="1">'4.2 Matriculas'!$A$1:$L$1</definedName>
    <definedName name="_xlnm._FilterDatabase" localSheetId="26" hidden="1">'4.3 Matriculas Periodo'!$A$1:$E$1</definedName>
    <definedName name="_xlnm._FilterDatabase" localSheetId="27" hidden="1">'4.4 Enturmacoes'!$A$1:$I$1</definedName>
    <definedName name="_xlnm._FilterDatabase" localSheetId="28" hidden="1">'5.1 Conjunto Grupos'!$A$1:$D$1</definedName>
    <definedName name="_xlnm._FilterDatabase" localSheetId="29" hidden="1">'5.2 Grupos'!$A$1:$D$1</definedName>
    <definedName name="_xlnm._FilterDatabase" localSheetId="30" hidden="1">'5.3 Pessoas Grupos'!$A$1:$B$1</definedName>
    <definedName name="_xlnm._FilterDatabase" localSheetId="31" hidden="1">'6.1 Alteracao Codigo'!$A$1:$C$1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1" i="32" l="1"/>
  <c r="F61" i="32"/>
  <c r="E61" i="32"/>
  <c r="G60" i="32"/>
  <c r="F60" i="32"/>
  <c r="E60" i="32"/>
  <c r="G59" i="32"/>
  <c r="F59" i="32"/>
  <c r="E59" i="32"/>
  <c r="G58" i="32"/>
  <c r="F58" i="32"/>
  <c r="E58" i="32"/>
  <c r="G57" i="32"/>
  <c r="F57" i="32"/>
  <c r="E57" i="32"/>
  <c r="G56" i="32"/>
  <c r="F56" i="32"/>
  <c r="E56" i="32"/>
  <c r="G55" i="32"/>
  <c r="F55" i="32"/>
  <c r="E55" i="32"/>
  <c r="G54" i="32"/>
  <c r="F54" i="32"/>
  <c r="E54" i="32"/>
  <c r="G53" i="32"/>
  <c r="F53" i="32"/>
  <c r="E53" i="32"/>
  <c r="G52" i="32"/>
  <c r="F52" i="32"/>
  <c r="E52" i="32"/>
  <c r="G51" i="32"/>
  <c r="F51" i="32"/>
  <c r="E51" i="32"/>
  <c r="G50" i="32"/>
  <c r="F50" i="32"/>
  <c r="E50" i="32"/>
  <c r="G49" i="32"/>
  <c r="F49" i="32"/>
  <c r="E49" i="32"/>
  <c r="G48" i="32"/>
  <c r="F48" i="32"/>
  <c r="E48" i="32"/>
  <c r="G47" i="32"/>
  <c r="F47" i="32"/>
  <c r="E47" i="32"/>
  <c r="G46" i="32"/>
  <c r="F46" i="32"/>
  <c r="E46" i="32"/>
  <c r="G45" i="32"/>
  <c r="F45" i="32"/>
  <c r="E45" i="32"/>
  <c r="G44" i="32"/>
  <c r="F44" i="32"/>
  <c r="E44" i="32"/>
  <c r="G43" i="32"/>
  <c r="F43" i="32"/>
  <c r="E43" i="32"/>
  <c r="G42" i="32"/>
  <c r="F42" i="32"/>
  <c r="E42" i="32"/>
  <c r="G41" i="32"/>
  <c r="F41" i="32"/>
  <c r="E41" i="32"/>
  <c r="G40" i="32"/>
  <c r="F40" i="32"/>
  <c r="E40" i="32"/>
  <c r="G39" i="32"/>
  <c r="F39" i="32"/>
  <c r="E39" i="32"/>
  <c r="G38" i="32"/>
  <c r="F38" i="32"/>
  <c r="E38" i="32"/>
  <c r="G37" i="32"/>
  <c r="F37" i="32"/>
  <c r="E37" i="32"/>
  <c r="G36" i="32"/>
  <c r="F36" i="32"/>
  <c r="E36" i="32"/>
  <c r="G35" i="32"/>
  <c r="F35" i="32"/>
  <c r="E35" i="32"/>
  <c r="G34" i="32"/>
  <c r="F34" i="32"/>
  <c r="E34" i="32"/>
  <c r="G33" i="32"/>
  <c r="F33" i="32"/>
  <c r="E33" i="32"/>
  <c r="G32" i="32"/>
  <c r="F32" i="32"/>
  <c r="E32" i="32"/>
  <c r="G31" i="32"/>
  <c r="F31" i="32"/>
  <c r="E31" i="32"/>
  <c r="G30" i="32"/>
  <c r="F30" i="32"/>
  <c r="E30" i="32"/>
  <c r="G29" i="32"/>
  <c r="F29" i="32"/>
  <c r="E29" i="32"/>
  <c r="G28" i="32"/>
  <c r="F28" i="32"/>
  <c r="E28" i="32"/>
  <c r="G27" i="32"/>
  <c r="F27" i="32"/>
  <c r="E27" i="32"/>
  <c r="G26" i="32"/>
  <c r="F26" i="32"/>
  <c r="E26" i="32"/>
  <c r="G25" i="32"/>
  <c r="F25" i="32"/>
  <c r="E25" i="32"/>
  <c r="G24" i="32"/>
  <c r="F24" i="32"/>
  <c r="E24" i="32"/>
  <c r="G23" i="32"/>
  <c r="F23" i="32"/>
  <c r="E23" i="32"/>
  <c r="G22" i="32"/>
  <c r="F22" i="32"/>
  <c r="E22" i="32"/>
  <c r="G21" i="32"/>
  <c r="F21" i="32"/>
  <c r="E21" i="32"/>
  <c r="G20" i="32"/>
  <c r="F20" i="32"/>
  <c r="E20" i="32"/>
  <c r="G19" i="32"/>
  <c r="F19" i="32"/>
  <c r="E19" i="32"/>
  <c r="G18" i="32"/>
  <c r="F18" i="32"/>
  <c r="E18" i="32"/>
  <c r="G17" i="32"/>
  <c r="F17" i="32"/>
  <c r="E17" i="32"/>
  <c r="G16" i="32"/>
  <c r="F16" i="32"/>
  <c r="E16" i="32"/>
  <c r="G15" i="32"/>
  <c r="F15" i="32"/>
  <c r="E15" i="32"/>
  <c r="G14" i="32"/>
  <c r="F14" i="32"/>
  <c r="E14" i="32"/>
  <c r="G13" i="32"/>
  <c r="F13" i="32"/>
  <c r="E13" i="32"/>
  <c r="G12" i="32"/>
  <c r="F12" i="32"/>
  <c r="E12" i="32"/>
  <c r="G11" i="32"/>
  <c r="F11" i="32"/>
  <c r="E11" i="32"/>
  <c r="G10" i="32"/>
  <c r="F10" i="32"/>
  <c r="E10" i="32"/>
  <c r="G9" i="32"/>
  <c r="F9" i="32"/>
  <c r="E9" i="32"/>
  <c r="G8" i="32"/>
  <c r="F8" i="32"/>
  <c r="E8" i="32"/>
  <c r="G7" i="32"/>
  <c r="F7" i="32"/>
  <c r="E7" i="32"/>
  <c r="G6" i="32"/>
  <c r="F6" i="32"/>
  <c r="E6" i="32"/>
  <c r="G5" i="32"/>
  <c r="F5" i="32"/>
  <c r="E5" i="32"/>
  <c r="G4" i="32"/>
  <c r="F4" i="32"/>
  <c r="E4" i="32"/>
  <c r="G3" i="32"/>
  <c r="F3" i="32"/>
  <c r="E3" i="32"/>
  <c r="G2" i="32"/>
  <c r="F2" i="32"/>
  <c r="E2" i="32"/>
  <c r="E61" i="31"/>
  <c r="D61" i="31"/>
  <c r="E60" i="31"/>
  <c r="D60" i="31"/>
  <c r="E59" i="31"/>
  <c r="D59" i="31"/>
  <c r="E58" i="31"/>
  <c r="D58" i="31"/>
  <c r="E57" i="31"/>
  <c r="D57" i="31"/>
  <c r="E56" i="31"/>
  <c r="D56" i="31"/>
  <c r="E55" i="31"/>
  <c r="D55" i="31"/>
  <c r="E54" i="31"/>
  <c r="D54" i="31"/>
  <c r="E53" i="31"/>
  <c r="D53" i="31"/>
  <c r="E52" i="31"/>
  <c r="D52" i="31"/>
  <c r="E51" i="31"/>
  <c r="D51" i="31"/>
  <c r="E50" i="31"/>
  <c r="D50" i="31"/>
  <c r="E49" i="31"/>
  <c r="D49" i="31"/>
  <c r="E48" i="31"/>
  <c r="D48" i="31"/>
  <c r="E47" i="31"/>
  <c r="D47" i="31"/>
  <c r="E46" i="31"/>
  <c r="D46" i="31"/>
  <c r="E45" i="31"/>
  <c r="D45" i="31"/>
  <c r="E44" i="31"/>
  <c r="D44" i="31"/>
  <c r="E43" i="31"/>
  <c r="D43" i="31"/>
  <c r="E42" i="31"/>
  <c r="D42" i="31"/>
  <c r="E41" i="31"/>
  <c r="D41" i="31"/>
  <c r="E40" i="31"/>
  <c r="D40" i="31"/>
  <c r="E39" i="31"/>
  <c r="D39" i="31"/>
  <c r="E38" i="31"/>
  <c r="D38" i="31"/>
  <c r="E37" i="31"/>
  <c r="D37" i="31"/>
  <c r="E36" i="31"/>
  <c r="D36" i="31"/>
  <c r="E35" i="31"/>
  <c r="D35" i="31"/>
  <c r="E34" i="31"/>
  <c r="D34" i="31"/>
  <c r="E33" i="31"/>
  <c r="D33" i="31"/>
  <c r="E32" i="31"/>
  <c r="D32" i="31"/>
  <c r="E31" i="31"/>
  <c r="D31" i="31"/>
  <c r="E30" i="31"/>
  <c r="D30" i="31"/>
  <c r="E29" i="31"/>
  <c r="D29" i="31"/>
  <c r="E28" i="31"/>
  <c r="D28" i="31"/>
  <c r="E27" i="31"/>
  <c r="D27" i="31"/>
  <c r="E26" i="31"/>
  <c r="D26" i="31"/>
  <c r="E25" i="31"/>
  <c r="D25" i="31"/>
  <c r="E24" i="31"/>
  <c r="D24" i="31"/>
  <c r="E23" i="31"/>
  <c r="D23" i="31"/>
  <c r="E22" i="31"/>
  <c r="D22" i="31"/>
  <c r="E21" i="31"/>
  <c r="D21" i="31"/>
  <c r="E20" i="31"/>
  <c r="D20" i="31"/>
  <c r="E19" i="31"/>
  <c r="D19" i="31"/>
  <c r="E18" i="31"/>
  <c r="D18" i="31"/>
  <c r="E17" i="31"/>
  <c r="D17" i="31"/>
  <c r="E16" i="31"/>
  <c r="D16" i="31"/>
  <c r="E15" i="31"/>
  <c r="D15" i="31"/>
  <c r="E14" i="31"/>
  <c r="D14" i="31"/>
  <c r="E13" i="31"/>
  <c r="D13" i="31"/>
  <c r="E12" i="31"/>
  <c r="D12" i="31"/>
  <c r="E11" i="31"/>
  <c r="D11" i="31"/>
  <c r="E10" i="31"/>
  <c r="D10" i="31"/>
  <c r="E9" i="31"/>
  <c r="D9" i="31"/>
  <c r="E8" i="31"/>
  <c r="D8" i="31"/>
  <c r="E7" i="31"/>
  <c r="D7" i="31"/>
  <c r="E6" i="31"/>
  <c r="D6" i="31"/>
  <c r="E5" i="31"/>
  <c r="D5" i="31"/>
  <c r="E4" i="31"/>
  <c r="D4" i="31"/>
  <c r="E3" i="31"/>
  <c r="D3" i="31"/>
  <c r="E2" i="31"/>
  <c r="D2" i="31"/>
  <c r="I61" i="30"/>
  <c r="H61" i="30"/>
  <c r="G61" i="30"/>
  <c r="F61" i="30"/>
  <c r="I60" i="30"/>
  <c r="H60" i="30"/>
  <c r="G60" i="30"/>
  <c r="F60" i="30"/>
  <c r="I59" i="30"/>
  <c r="H59" i="30"/>
  <c r="G59" i="30"/>
  <c r="F59" i="30"/>
  <c r="I58" i="30"/>
  <c r="H58" i="30"/>
  <c r="G58" i="30"/>
  <c r="F58" i="30"/>
  <c r="I57" i="30"/>
  <c r="H57" i="30"/>
  <c r="G57" i="30"/>
  <c r="F57" i="30"/>
  <c r="I56" i="30"/>
  <c r="H56" i="30"/>
  <c r="G56" i="30"/>
  <c r="F56" i="30"/>
  <c r="I55" i="30"/>
  <c r="H55" i="30"/>
  <c r="G55" i="30"/>
  <c r="F55" i="30"/>
  <c r="I54" i="30"/>
  <c r="H54" i="30"/>
  <c r="G54" i="30"/>
  <c r="F54" i="30"/>
  <c r="I53" i="30"/>
  <c r="H53" i="30"/>
  <c r="G53" i="30"/>
  <c r="F53" i="30"/>
  <c r="I52" i="30"/>
  <c r="H52" i="30"/>
  <c r="G52" i="30"/>
  <c r="F52" i="30"/>
  <c r="I51" i="30"/>
  <c r="H51" i="30"/>
  <c r="G51" i="30"/>
  <c r="F51" i="30"/>
  <c r="I50" i="30"/>
  <c r="H50" i="30"/>
  <c r="G50" i="30"/>
  <c r="F50" i="30"/>
  <c r="I49" i="30"/>
  <c r="H49" i="30"/>
  <c r="G49" i="30"/>
  <c r="F49" i="30"/>
  <c r="I48" i="30"/>
  <c r="H48" i="30"/>
  <c r="G48" i="30"/>
  <c r="F48" i="30"/>
  <c r="I47" i="30"/>
  <c r="H47" i="30"/>
  <c r="G47" i="30"/>
  <c r="F47" i="30"/>
  <c r="I46" i="30"/>
  <c r="H46" i="30"/>
  <c r="G46" i="30"/>
  <c r="F46" i="30"/>
  <c r="I45" i="30"/>
  <c r="H45" i="30"/>
  <c r="G45" i="30"/>
  <c r="F45" i="30"/>
  <c r="I44" i="30"/>
  <c r="H44" i="30"/>
  <c r="G44" i="30"/>
  <c r="F44" i="30"/>
  <c r="I43" i="30"/>
  <c r="H43" i="30"/>
  <c r="G43" i="30"/>
  <c r="F43" i="30"/>
  <c r="I42" i="30"/>
  <c r="H42" i="30"/>
  <c r="G42" i="30"/>
  <c r="F42" i="30"/>
  <c r="I41" i="30"/>
  <c r="H41" i="30"/>
  <c r="G41" i="30"/>
  <c r="F41" i="30"/>
  <c r="I40" i="30"/>
  <c r="H40" i="30"/>
  <c r="G40" i="30"/>
  <c r="F40" i="30"/>
  <c r="I39" i="30"/>
  <c r="H39" i="30"/>
  <c r="G39" i="30"/>
  <c r="F39" i="30"/>
  <c r="I38" i="30"/>
  <c r="H38" i="30"/>
  <c r="G38" i="30"/>
  <c r="F38" i="30"/>
  <c r="I37" i="30"/>
  <c r="H37" i="30"/>
  <c r="G37" i="30"/>
  <c r="F37" i="30"/>
  <c r="I36" i="30"/>
  <c r="H36" i="30"/>
  <c r="G36" i="30"/>
  <c r="F36" i="30"/>
  <c r="I35" i="30"/>
  <c r="H35" i="30"/>
  <c r="G35" i="30"/>
  <c r="F35" i="30"/>
  <c r="I34" i="30"/>
  <c r="H34" i="30"/>
  <c r="G34" i="30"/>
  <c r="F34" i="30"/>
  <c r="I33" i="30"/>
  <c r="H33" i="30"/>
  <c r="G33" i="30"/>
  <c r="F33" i="30"/>
  <c r="I32" i="30"/>
  <c r="H32" i="30"/>
  <c r="G32" i="30"/>
  <c r="F32" i="30"/>
  <c r="I31" i="30"/>
  <c r="H31" i="30"/>
  <c r="G31" i="30"/>
  <c r="F31" i="30"/>
  <c r="I30" i="30"/>
  <c r="H30" i="30"/>
  <c r="G30" i="30"/>
  <c r="F30" i="30"/>
  <c r="I29" i="30"/>
  <c r="H29" i="30"/>
  <c r="G29" i="30"/>
  <c r="F29" i="30"/>
  <c r="I28" i="30"/>
  <c r="H28" i="30"/>
  <c r="G28" i="30"/>
  <c r="F28" i="30"/>
  <c r="I27" i="30"/>
  <c r="H27" i="30"/>
  <c r="G27" i="30"/>
  <c r="F27" i="30"/>
  <c r="I26" i="30"/>
  <c r="H26" i="30"/>
  <c r="G26" i="30"/>
  <c r="F26" i="30"/>
  <c r="I25" i="30"/>
  <c r="H25" i="30"/>
  <c r="G25" i="30"/>
  <c r="F25" i="30"/>
  <c r="I24" i="30"/>
  <c r="H24" i="30"/>
  <c r="G24" i="30"/>
  <c r="F24" i="30"/>
  <c r="I23" i="30"/>
  <c r="H23" i="30"/>
  <c r="G23" i="30"/>
  <c r="F23" i="30"/>
  <c r="I22" i="30"/>
  <c r="H22" i="30"/>
  <c r="G22" i="30"/>
  <c r="F22" i="30"/>
  <c r="I21" i="30"/>
  <c r="H21" i="30"/>
  <c r="G21" i="30"/>
  <c r="F21" i="30"/>
  <c r="I20" i="30"/>
  <c r="H20" i="30"/>
  <c r="G20" i="30"/>
  <c r="F20" i="30"/>
  <c r="I19" i="30"/>
  <c r="H19" i="30"/>
  <c r="G19" i="30"/>
  <c r="F19" i="30"/>
  <c r="I18" i="30"/>
  <c r="H18" i="30"/>
  <c r="G18" i="30"/>
  <c r="F18" i="30"/>
  <c r="I17" i="30"/>
  <c r="H17" i="30"/>
  <c r="G17" i="30"/>
  <c r="F17" i="30"/>
  <c r="I16" i="30"/>
  <c r="H16" i="30"/>
  <c r="G16" i="30"/>
  <c r="F16" i="30"/>
  <c r="I15" i="30"/>
  <c r="H15" i="30"/>
  <c r="G15" i="30"/>
  <c r="F15" i="30"/>
  <c r="I14" i="30"/>
  <c r="H14" i="30"/>
  <c r="G14" i="30"/>
  <c r="F14" i="30"/>
  <c r="I13" i="30"/>
  <c r="H13" i="30"/>
  <c r="G13" i="30"/>
  <c r="F13" i="30"/>
  <c r="I12" i="30"/>
  <c r="H12" i="30"/>
  <c r="G12" i="30"/>
  <c r="F12" i="30"/>
  <c r="I11" i="30"/>
  <c r="H11" i="30"/>
  <c r="G11" i="30"/>
  <c r="F11" i="30"/>
  <c r="I10" i="30"/>
  <c r="H10" i="30"/>
  <c r="G10" i="30"/>
  <c r="F10" i="30"/>
  <c r="I9" i="30"/>
  <c r="H9" i="30"/>
  <c r="G9" i="30"/>
  <c r="F9" i="30"/>
  <c r="I8" i="30"/>
  <c r="H8" i="30"/>
  <c r="G8" i="30"/>
  <c r="F8" i="30"/>
  <c r="I7" i="30"/>
  <c r="H7" i="30"/>
  <c r="G7" i="30"/>
  <c r="F7" i="30"/>
  <c r="I6" i="30"/>
  <c r="H6" i="30"/>
  <c r="G6" i="30"/>
  <c r="F6" i="30"/>
  <c r="I5" i="30"/>
  <c r="H5" i="30"/>
  <c r="G5" i="30"/>
  <c r="F5" i="30"/>
  <c r="I4" i="30"/>
  <c r="H4" i="30"/>
  <c r="G4" i="30"/>
  <c r="F4" i="30"/>
  <c r="I3" i="30"/>
  <c r="H3" i="30"/>
  <c r="G3" i="30"/>
  <c r="F3" i="30"/>
  <c r="I2" i="30"/>
  <c r="H2" i="30"/>
  <c r="G2" i="30"/>
  <c r="F2" i="30"/>
  <c r="I61" i="29"/>
  <c r="H61" i="29"/>
  <c r="G61" i="29"/>
  <c r="F61" i="29"/>
  <c r="I60" i="29"/>
  <c r="H60" i="29"/>
  <c r="G60" i="29"/>
  <c r="F60" i="29"/>
  <c r="I59" i="29"/>
  <c r="H59" i="29"/>
  <c r="G59" i="29"/>
  <c r="F59" i="29"/>
  <c r="I58" i="29"/>
  <c r="H58" i="29"/>
  <c r="G58" i="29"/>
  <c r="F58" i="29"/>
  <c r="I57" i="29"/>
  <c r="H57" i="29"/>
  <c r="G57" i="29"/>
  <c r="F57" i="29"/>
  <c r="I56" i="29"/>
  <c r="H56" i="29"/>
  <c r="G56" i="29"/>
  <c r="F56" i="29"/>
  <c r="I55" i="29"/>
  <c r="H55" i="29"/>
  <c r="G55" i="29"/>
  <c r="F55" i="29"/>
  <c r="I54" i="29"/>
  <c r="H54" i="29"/>
  <c r="G54" i="29"/>
  <c r="F54" i="29"/>
  <c r="I53" i="29"/>
  <c r="H53" i="29"/>
  <c r="G53" i="29"/>
  <c r="F53" i="29"/>
  <c r="I52" i="29"/>
  <c r="H52" i="29"/>
  <c r="G52" i="29"/>
  <c r="F52" i="29"/>
  <c r="I51" i="29"/>
  <c r="H51" i="29"/>
  <c r="G51" i="29"/>
  <c r="F51" i="29"/>
  <c r="I50" i="29"/>
  <c r="H50" i="29"/>
  <c r="G50" i="29"/>
  <c r="F50" i="29"/>
  <c r="I49" i="29"/>
  <c r="H49" i="29"/>
  <c r="G49" i="29"/>
  <c r="F49" i="29"/>
  <c r="I48" i="29"/>
  <c r="H48" i="29"/>
  <c r="G48" i="29"/>
  <c r="F48" i="29"/>
  <c r="I47" i="29"/>
  <c r="H47" i="29"/>
  <c r="G47" i="29"/>
  <c r="F47" i="29"/>
  <c r="I46" i="29"/>
  <c r="H46" i="29"/>
  <c r="G46" i="29"/>
  <c r="F46" i="29"/>
  <c r="I45" i="29"/>
  <c r="H45" i="29"/>
  <c r="G45" i="29"/>
  <c r="F45" i="29"/>
  <c r="I44" i="29"/>
  <c r="H44" i="29"/>
  <c r="G44" i="29"/>
  <c r="F44" i="29"/>
  <c r="I43" i="29"/>
  <c r="H43" i="29"/>
  <c r="G43" i="29"/>
  <c r="F43" i="29"/>
  <c r="I42" i="29"/>
  <c r="H42" i="29"/>
  <c r="G42" i="29"/>
  <c r="F42" i="29"/>
  <c r="I41" i="29"/>
  <c r="H41" i="29"/>
  <c r="G41" i="29"/>
  <c r="F41" i="29"/>
  <c r="I40" i="29"/>
  <c r="H40" i="29"/>
  <c r="G40" i="29"/>
  <c r="F40" i="29"/>
  <c r="I39" i="29"/>
  <c r="H39" i="29"/>
  <c r="G39" i="29"/>
  <c r="F39" i="29"/>
  <c r="I38" i="29"/>
  <c r="H38" i="29"/>
  <c r="G38" i="29"/>
  <c r="F38" i="29"/>
  <c r="I37" i="29"/>
  <c r="H37" i="29"/>
  <c r="G37" i="29"/>
  <c r="F37" i="29"/>
  <c r="I36" i="29"/>
  <c r="H36" i="29"/>
  <c r="G36" i="29"/>
  <c r="F36" i="29"/>
  <c r="I35" i="29"/>
  <c r="H35" i="29"/>
  <c r="G35" i="29"/>
  <c r="F35" i="29"/>
  <c r="I34" i="29"/>
  <c r="H34" i="29"/>
  <c r="G34" i="29"/>
  <c r="F34" i="29"/>
  <c r="I33" i="29"/>
  <c r="H33" i="29"/>
  <c r="G33" i="29"/>
  <c r="F33" i="29"/>
  <c r="I32" i="29"/>
  <c r="H32" i="29"/>
  <c r="G32" i="29"/>
  <c r="F32" i="29"/>
  <c r="I31" i="29"/>
  <c r="H31" i="29"/>
  <c r="G31" i="29"/>
  <c r="F31" i="29"/>
  <c r="I30" i="29"/>
  <c r="H30" i="29"/>
  <c r="G30" i="29"/>
  <c r="F30" i="29"/>
  <c r="I29" i="29"/>
  <c r="H29" i="29"/>
  <c r="G29" i="29"/>
  <c r="F29" i="29"/>
  <c r="I28" i="29"/>
  <c r="H28" i="29"/>
  <c r="G28" i="29"/>
  <c r="F28" i="29"/>
  <c r="I27" i="29"/>
  <c r="H27" i="29"/>
  <c r="G27" i="29"/>
  <c r="F27" i="29"/>
  <c r="I26" i="29"/>
  <c r="H26" i="29"/>
  <c r="G26" i="29"/>
  <c r="F26" i="29"/>
  <c r="I25" i="29"/>
  <c r="H25" i="29"/>
  <c r="G25" i="29"/>
  <c r="F25" i="29"/>
  <c r="I24" i="29"/>
  <c r="H24" i="29"/>
  <c r="G24" i="29"/>
  <c r="F24" i="29"/>
  <c r="I23" i="29"/>
  <c r="H23" i="29"/>
  <c r="G23" i="29"/>
  <c r="F23" i="29"/>
  <c r="I22" i="29"/>
  <c r="H22" i="29"/>
  <c r="G22" i="29"/>
  <c r="F22" i="29"/>
  <c r="I21" i="29"/>
  <c r="H21" i="29"/>
  <c r="G21" i="29"/>
  <c r="F21" i="29"/>
  <c r="I20" i="29"/>
  <c r="H20" i="29"/>
  <c r="G20" i="29"/>
  <c r="F20" i="29"/>
  <c r="I19" i="29"/>
  <c r="H19" i="29"/>
  <c r="G19" i="29"/>
  <c r="F19" i="29"/>
  <c r="I18" i="29"/>
  <c r="H18" i="29"/>
  <c r="G18" i="29"/>
  <c r="F18" i="29"/>
  <c r="I17" i="29"/>
  <c r="H17" i="29"/>
  <c r="G17" i="29"/>
  <c r="F17" i="29"/>
  <c r="I16" i="29"/>
  <c r="H16" i="29"/>
  <c r="G16" i="29"/>
  <c r="F16" i="29"/>
  <c r="I15" i="29"/>
  <c r="H15" i="29"/>
  <c r="G15" i="29"/>
  <c r="F15" i="29"/>
  <c r="I14" i="29"/>
  <c r="H14" i="29"/>
  <c r="G14" i="29"/>
  <c r="F14" i="29"/>
  <c r="I13" i="29"/>
  <c r="H13" i="29"/>
  <c r="G13" i="29"/>
  <c r="F13" i="29"/>
  <c r="I12" i="29"/>
  <c r="H12" i="29"/>
  <c r="G12" i="29"/>
  <c r="F12" i="29"/>
  <c r="I11" i="29"/>
  <c r="H11" i="29"/>
  <c r="G11" i="29"/>
  <c r="F11" i="29"/>
  <c r="I10" i="29"/>
  <c r="H10" i="29"/>
  <c r="G10" i="29"/>
  <c r="F10" i="29"/>
  <c r="I9" i="29"/>
  <c r="H9" i="29"/>
  <c r="G9" i="29"/>
  <c r="F9" i="29"/>
  <c r="I8" i="29"/>
  <c r="H8" i="29"/>
  <c r="G8" i="29"/>
  <c r="F8" i="29"/>
  <c r="I7" i="29"/>
  <c r="H7" i="29"/>
  <c r="G7" i="29"/>
  <c r="F7" i="29"/>
  <c r="I6" i="29"/>
  <c r="H6" i="29"/>
  <c r="G6" i="29"/>
  <c r="F6" i="29"/>
  <c r="I5" i="29"/>
  <c r="H5" i="29"/>
  <c r="G5" i="29"/>
  <c r="F5" i="29"/>
  <c r="I4" i="29"/>
  <c r="H4" i="29"/>
  <c r="G4" i="29"/>
  <c r="F4" i="29"/>
  <c r="I3" i="29"/>
  <c r="H3" i="29"/>
  <c r="G3" i="29"/>
  <c r="F3" i="29"/>
  <c r="I2" i="29"/>
  <c r="H2" i="29"/>
  <c r="G2" i="29"/>
  <c r="F2" i="29"/>
  <c r="S61" i="28"/>
  <c r="R61" i="28"/>
  <c r="Q61" i="28"/>
  <c r="P61" i="28"/>
  <c r="O61" i="28"/>
  <c r="N61" i="28"/>
  <c r="M61" i="28"/>
  <c r="L61" i="28"/>
  <c r="K61" i="28"/>
  <c r="S60" i="28"/>
  <c r="R60" i="28"/>
  <c r="Q60" i="28"/>
  <c r="P60" i="28"/>
  <c r="O60" i="28"/>
  <c r="N60" i="28"/>
  <c r="M60" i="28"/>
  <c r="L60" i="28"/>
  <c r="K60" i="28"/>
  <c r="S59" i="28"/>
  <c r="R59" i="28"/>
  <c r="Q59" i="28"/>
  <c r="P59" i="28"/>
  <c r="O59" i="28"/>
  <c r="N59" i="28"/>
  <c r="M59" i="28"/>
  <c r="L59" i="28"/>
  <c r="K59" i="28"/>
  <c r="S58" i="28"/>
  <c r="R58" i="28"/>
  <c r="Q58" i="28"/>
  <c r="P58" i="28"/>
  <c r="O58" i="28"/>
  <c r="N58" i="28"/>
  <c r="M58" i="28"/>
  <c r="L58" i="28"/>
  <c r="K58" i="28"/>
  <c r="S57" i="28"/>
  <c r="R57" i="28"/>
  <c r="Q57" i="28"/>
  <c r="P57" i="28"/>
  <c r="O57" i="28"/>
  <c r="N57" i="28"/>
  <c r="M57" i="28"/>
  <c r="L57" i="28"/>
  <c r="K57" i="28"/>
  <c r="S56" i="28"/>
  <c r="R56" i="28"/>
  <c r="Q56" i="28"/>
  <c r="P56" i="28"/>
  <c r="O56" i="28"/>
  <c r="N56" i="28"/>
  <c r="M56" i="28"/>
  <c r="L56" i="28"/>
  <c r="K56" i="28"/>
  <c r="S55" i="28"/>
  <c r="R55" i="28"/>
  <c r="Q55" i="28"/>
  <c r="P55" i="28"/>
  <c r="O55" i="28"/>
  <c r="N55" i="28"/>
  <c r="M55" i="28"/>
  <c r="L55" i="28"/>
  <c r="K55" i="28"/>
  <c r="S54" i="28"/>
  <c r="R54" i="28"/>
  <c r="Q54" i="28"/>
  <c r="P54" i="28"/>
  <c r="O54" i="28"/>
  <c r="N54" i="28"/>
  <c r="M54" i="28"/>
  <c r="L54" i="28"/>
  <c r="K54" i="28"/>
  <c r="S53" i="28"/>
  <c r="R53" i="28"/>
  <c r="Q53" i="28"/>
  <c r="P53" i="28"/>
  <c r="O53" i="28"/>
  <c r="N53" i="28"/>
  <c r="M53" i="28"/>
  <c r="L53" i="28"/>
  <c r="K53" i="28"/>
  <c r="S52" i="28"/>
  <c r="R52" i="28"/>
  <c r="Q52" i="28"/>
  <c r="P52" i="28"/>
  <c r="O52" i="28"/>
  <c r="N52" i="28"/>
  <c r="M52" i="28"/>
  <c r="L52" i="28"/>
  <c r="K52" i="28"/>
  <c r="S51" i="28"/>
  <c r="R51" i="28"/>
  <c r="Q51" i="28"/>
  <c r="P51" i="28"/>
  <c r="O51" i="28"/>
  <c r="N51" i="28"/>
  <c r="M51" i="28"/>
  <c r="L51" i="28"/>
  <c r="K51" i="28"/>
  <c r="S50" i="28"/>
  <c r="R50" i="28"/>
  <c r="Q50" i="28"/>
  <c r="P50" i="28"/>
  <c r="O50" i="28"/>
  <c r="N50" i="28"/>
  <c r="M50" i="28"/>
  <c r="L50" i="28"/>
  <c r="K50" i="28"/>
  <c r="S49" i="28"/>
  <c r="R49" i="28"/>
  <c r="Q49" i="28"/>
  <c r="P49" i="28"/>
  <c r="O49" i="28"/>
  <c r="N49" i="28"/>
  <c r="M49" i="28"/>
  <c r="L49" i="28"/>
  <c r="K49" i="28"/>
  <c r="S48" i="28"/>
  <c r="R48" i="28"/>
  <c r="Q48" i="28"/>
  <c r="P48" i="28"/>
  <c r="O48" i="28"/>
  <c r="N48" i="28"/>
  <c r="M48" i="28"/>
  <c r="L48" i="28"/>
  <c r="K48" i="28"/>
  <c r="S47" i="28"/>
  <c r="R47" i="28"/>
  <c r="Q47" i="28"/>
  <c r="P47" i="28"/>
  <c r="O47" i="28"/>
  <c r="N47" i="28"/>
  <c r="M47" i="28"/>
  <c r="L47" i="28"/>
  <c r="K47" i="28"/>
  <c r="S46" i="28"/>
  <c r="R46" i="28"/>
  <c r="Q46" i="28"/>
  <c r="P46" i="28"/>
  <c r="O46" i="28"/>
  <c r="N46" i="28"/>
  <c r="M46" i="28"/>
  <c r="L46" i="28"/>
  <c r="K46" i="28"/>
  <c r="S45" i="28"/>
  <c r="R45" i="28"/>
  <c r="Q45" i="28"/>
  <c r="P45" i="28"/>
  <c r="O45" i="28"/>
  <c r="N45" i="28"/>
  <c r="M45" i="28"/>
  <c r="L45" i="28"/>
  <c r="K45" i="28"/>
  <c r="S44" i="28"/>
  <c r="R44" i="28"/>
  <c r="Q44" i="28"/>
  <c r="P44" i="28"/>
  <c r="O44" i="28"/>
  <c r="N44" i="28"/>
  <c r="M44" i="28"/>
  <c r="L44" i="28"/>
  <c r="K44" i="28"/>
  <c r="S43" i="28"/>
  <c r="R43" i="28"/>
  <c r="Q43" i="28"/>
  <c r="P43" i="28"/>
  <c r="O43" i="28"/>
  <c r="N43" i="28"/>
  <c r="M43" i="28"/>
  <c r="L43" i="28"/>
  <c r="K43" i="28"/>
  <c r="S42" i="28"/>
  <c r="R42" i="28"/>
  <c r="Q42" i="28"/>
  <c r="P42" i="28"/>
  <c r="O42" i="28"/>
  <c r="N42" i="28"/>
  <c r="M42" i="28"/>
  <c r="L42" i="28"/>
  <c r="K42" i="28"/>
  <c r="S41" i="28"/>
  <c r="R41" i="28"/>
  <c r="Q41" i="28"/>
  <c r="P41" i="28"/>
  <c r="O41" i="28"/>
  <c r="N41" i="28"/>
  <c r="M41" i="28"/>
  <c r="L41" i="28"/>
  <c r="K41" i="28"/>
  <c r="S40" i="28"/>
  <c r="R40" i="28"/>
  <c r="Q40" i="28"/>
  <c r="P40" i="28"/>
  <c r="O40" i="28"/>
  <c r="N40" i="28"/>
  <c r="M40" i="28"/>
  <c r="L40" i="28"/>
  <c r="K40" i="28"/>
  <c r="S39" i="28"/>
  <c r="R39" i="28"/>
  <c r="Q39" i="28"/>
  <c r="P39" i="28"/>
  <c r="O39" i="28"/>
  <c r="N39" i="28"/>
  <c r="M39" i="28"/>
  <c r="L39" i="28"/>
  <c r="K39" i="28"/>
  <c r="S38" i="28"/>
  <c r="R38" i="28"/>
  <c r="Q38" i="28"/>
  <c r="P38" i="28"/>
  <c r="O38" i="28"/>
  <c r="N38" i="28"/>
  <c r="M38" i="28"/>
  <c r="L38" i="28"/>
  <c r="K38" i="28"/>
  <c r="S37" i="28"/>
  <c r="R37" i="28"/>
  <c r="Q37" i="28"/>
  <c r="P37" i="28"/>
  <c r="O37" i="28"/>
  <c r="N37" i="28"/>
  <c r="M37" i="28"/>
  <c r="L37" i="28"/>
  <c r="K37" i="28"/>
  <c r="S36" i="28"/>
  <c r="R36" i="28"/>
  <c r="Q36" i="28"/>
  <c r="P36" i="28"/>
  <c r="O36" i="28"/>
  <c r="N36" i="28"/>
  <c r="M36" i="28"/>
  <c r="L36" i="28"/>
  <c r="K36" i="28"/>
  <c r="S35" i="28"/>
  <c r="R35" i="28"/>
  <c r="Q35" i="28"/>
  <c r="P35" i="28"/>
  <c r="O35" i="28"/>
  <c r="N35" i="28"/>
  <c r="M35" i="28"/>
  <c r="L35" i="28"/>
  <c r="K35" i="28"/>
  <c r="S34" i="28"/>
  <c r="R34" i="28"/>
  <c r="Q34" i="28"/>
  <c r="P34" i="28"/>
  <c r="O34" i="28"/>
  <c r="N34" i="28"/>
  <c r="M34" i="28"/>
  <c r="L34" i="28"/>
  <c r="K34" i="28"/>
  <c r="S33" i="28"/>
  <c r="R33" i="28"/>
  <c r="Q33" i="28"/>
  <c r="P33" i="28"/>
  <c r="O33" i="28"/>
  <c r="N33" i="28"/>
  <c r="M33" i="28"/>
  <c r="L33" i="28"/>
  <c r="K33" i="28"/>
  <c r="S32" i="28"/>
  <c r="R32" i="28"/>
  <c r="Q32" i="28"/>
  <c r="P32" i="28"/>
  <c r="O32" i="28"/>
  <c r="N32" i="28"/>
  <c r="M32" i="28"/>
  <c r="L32" i="28"/>
  <c r="K32" i="28"/>
  <c r="S31" i="28"/>
  <c r="R31" i="28"/>
  <c r="Q31" i="28"/>
  <c r="P31" i="28"/>
  <c r="O31" i="28"/>
  <c r="N31" i="28"/>
  <c r="M31" i="28"/>
  <c r="L31" i="28"/>
  <c r="K31" i="28"/>
  <c r="S30" i="28"/>
  <c r="R30" i="28"/>
  <c r="Q30" i="28"/>
  <c r="P30" i="28"/>
  <c r="O30" i="28"/>
  <c r="N30" i="28"/>
  <c r="M30" i="28"/>
  <c r="L30" i="28"/>
  <c r="K30" i="28"/>
  <c r="S29" i="28"/>
  <c r="R29" i="28"/>
  <c r="Q29" i="28"/>
  <c r="P29" i="28"/>
  <c r="O29" i="28"/>
  <c r="N29" i="28"/>
  <c r="M29" i="28"/>
  <c r="L29" i="28"/>
  <c r="K29" i="28"/>
  <c r="S28" i="28"/>
  <c r="R28" i="28"/>
  <c r="Q28" i="28"/>
  <c r="P28" i="28"/>
  <c r="O28" i="28"/>
  <c r="N28" i="28"/>
  <c r="M28" i="28"/>
  <c r="L28" i="28"/>
  <c r="K28" i="28"/>
  <c r="S27" i="28"/>
  <c r="R27" i="28"/>
  <c r="Q27" i="28"/>
  <c r="P27" i="28"/>
  <c r="O27" i="28"/>
  <c r="N27" i="28"/>
  <c r="M27" i="28"/>
  <c r="L27" i="28"/>
  <c r="K27" i="28"/>
  <c r="S26" i="28"/>
  <c r="R26" i="28"/>
  <c r="Q26" i="28"/>
  <c r="P26" i="28"/>
  <c r="O26" i="28"/>
  <c r="N26" i="28"/>
  <c r="M26" i="28"/>
  <c r="L26" i="28"/>
  <c r="K26" i="28"/>
  <c r="S25" i="28"/>
  <c r="R25" i="28"/>
  <c r="Q25" i="28"/>
  <c r="P25" i="28"/>
  <c r="O25" i="28"/>
  <c r="N25" i="28"/>
  <c r="M25" i="28"/>
  <c r="L25" i="28"/>
  <c r="K25" i="28"/>
  <c r="S24" i="28"/>
  <c r="R24" i="28"/>
  <c r="Q24" i="28"/>
  <c r="P24" i="28"/>
  <c r="O24" i="28"/>
  <c r="N24" i="28"/>
  <c r="M24" i="28"/>
  <c r="L24" i="28"/>
  <c r="K24" i="28"/>
  <c r="S23" i="28"/>
  <c r="R23" i="28"/>
  <c r="Q23" i="28"/>
  <c r="P23" i="28"/>
  <c r="O23" i="28"/>
  <c r="N23" i="28"/>
  <c r="M23" i="28"/>
  <c r="L23" i="28"/>
  <c r="K23" i="28"/>
  <c r="S22" i="28"/>
  <c r="R22" i="28"/>
  <c r="Q22" i="28"/>
  <c r="P22" i="28"/>
  <c r="O22" i="28"/>
  <c r="N22" i="28"/>
  <c r="M22" i="28"/>
  <c r="L22" i="28"/>
  <c r="K22" i="28"/>
  <c r="S21" i="28"/>
  <c r="R21" i="28"/>
  <c r="Q21" i="28"/>
  <c r="P21" i="28"/>
  <c r="O21" i="28"/>
  <c r="N21" i="28"/>
  <c r="M21" i="28"/>
  <c r="L21" i="28"/>
  <c r="K21" i="28"/>
  <c r="S20" i="28"/>
  <c r="R20" i="28"/>
  <c r="Q20" i="28"/>
  <c r="P20" i="28"/>
  <c r="O20" i="28"/>
  <c r="N20" i="28"/>
  <c r="M20" i="28"/>
  <c r="L20" i="28"/>
  <c r="K20" i="28"/>
  <c r="S19" i="28"/>
  <c r="R19" i="28"/>
  <c r="Q19" i="28"/>
  <c r="P19" i="28"/>
  <c r="O19" i="28"/>
  <c r="N19" i="28"/>
  <c r="M19" i="28"/>
  <c r="L19" i="28"/>
  <c r="K19" i="28"/>
  <c r="S18" i="28"/>
  <c r="R18" i="28"/>
  <c r="Q18" i="28"/>
  <c r="P18" i="28"/>
  <c r="O18" i="28"/>
  <c r="N18" i="28"/>
  <c r="M18" i="28"/>
  <c r="L18" i="28"/>
  <c r="K18" i="28"/>
  <c r="S17" i="28"/>
  <c r="R17" i="28"/>
  <c r="Q17" i="28"/>
  <c r="P17" i="28"/>
  <c r="O17" i="28"/>
  <c r="N17" i="28"/>
  <c r="M17" i="28"/>
  <c r="L17" i="28"/>
  <c r="K17" i="28"/>
  <c r="S16" i="28"/>
  <c r="R16" i="28"/>
  <c r="Q16" i="28"/>
  <c r="P16" i="28"/>
  <c r="O16" i="28"/>
  <c r="N16" i="28"/>
  <c r="M16" i="28"/>
  <c r="L16" i="28"/>
  <c r="K16" i="28"/>
  <c r="S15" i="28"/>
  <c r="R15" i="28"/>
  <c r="Q15" i="28"/>
  <c r="P15" i="28"/>
  <c r="O15" i="28"/>
  <c r="N15" i="28"/>
  <c r="M15" i="28"/>
  <c r="L15" i="28"/>
  <c r="K15" i="28"/>
  <c r="S14" i="28"/>
  <c r="R14" i="28"/>
  <c r="Q14" i="28"/>
  <c r="P14" i="28"/>
  <c r="O14" i="28"/>
  <c r="N14" i="28"/>
  <c r="M14" i="28"/>
  <c r="L14" i="28"/>
  <c r="K14" i="28"/>
  <c r="S13" i="28"/>
  <c r="R13" i="28"/>
  <c r="Q13" i="28"/>
  <c r="P13" i="28"/>
  <c r="O13" i="28"/>
  <c r="N13" i="28"/>
  <c r="M13" i="28"/>
  <c r="L13" i="28"/>
  <c r="K13" i="28"/>
  <c r="S12" i="28"/>
  <c r="R12" i="28"/>
  <c r="Q12" i="28"/>
  <c r="P12" i="28"/>
  <c r="O12" i="28"/>
  <c r="N12" i="28"/>
  <c r="M12" i="28"/>
  <c r="L12" i="28"/>
  <c r="K12" i="28"/>
  <c r="S11" i="28"/>
  <c r="R11" i="28"/>
  <c r="Q11" i="28"/>
  <c r="P11" i="28"/>
  <c r="O11" i="28"/>
  <c r="N11" i="28"/>
  <c r="M11" i="28"/>
  <c r="L11" i="28"/>
  <c r="K11" i="28"/>
  <c r="S10" i="28"/>
  <c r="R10" i="28"/>
  <c r="Q10" i="28"/>
  <c r="P10" i="28"/>
  <c r="O10" i="28"/>
  <c r="N10" i="28"/>
  <c r="M10" i="28"/>
  <c r="L10" i="28"/>
  <c r="K10" i="28"/>
  <c r="S9" i="28"/>
  <c r="R9" i="28"/>
  <c r="Q9" i="28"/>
  <c r="P9" i="28"/>
  <c r="O9" i="28"/>
  <c r="N9" i="28"/>
  <c r="M9" i="28"/>
  <c r="L9" i="28"/>
  <c r="K9" i="28"/>
  <c r="S8" i="28"/>
  <c r="R8" i="28"/>
  <c r="Q8" i="28"/>
  <c r="P8" i="28"/>
  <c r="O8" i="28"/>
  <c r="N8" i="28"/>
  <c r="M8" i="28"/>
  <c r="L8" i="28"/>
  <c r="K8" i="28"/>
  <c r="S7" i="28"/>
  <c r="R7" i="28"/>
  <c r="Q7" i="28"/>
  <c r="P7" i="28"/>
  <c r="O7" i="28"/>
  <c r="N7" i="28"/>
  <c r="M7" i="28"/>
  <c r="L7" i="28"/>
  <c r="K7" i="28"/>
  <c r="S6" i="28"/>
  <c r="R6" i="28"/>
  <c r="Q6" i="28"/>
  <c r="P6" i="28"/>
  <c r="O6" i="28"/>
  <c r="N6" i="28"/>
  <c r="M6" i="28"/>
  <c r="L6" i="28"/>
  <c r="K6" i="28"/>
  <c r="S5" i="28"/>
  <c r="R5" i="28"/>
  <c r="Q5" i="28"/>
  <c r="P5" i="28"/>
  <c r="O5" i="28"/>
  <c r="N5" i="28"/>
  <c r="M5" i="28"/>
  <c r="L5" i="28"/>
  <c r="K5" i="28"/>
  <c r="S4" i="28"/>
  <c r="R4" i="28"/>
  <c r="Q4" i="28"/>
  <c r="P4" i="28"/>
  <c r="O4" i="28"/>
  <c r="N4" i="28"/>
  <c r="M4" i="28"/>
  <c r="L4" i="28"/>
  <c r="K4" i="28"/>
  <c r="S3" i="28"/>
  <c r="R3" i="28"/>
  <c r="Q3" i="28"/>
  <c r="P3" i="28"/>
  <c r="O3" i="28"/>
  <c r="N3" i="28"/>
  <c r="M3" i="28"/>
  <c r="L3" i="28"/>
  <c r="K3" i="28"/>
  <c r="S2" i="28"/>
  <c r="R2" i="28"/>
  <c r="Q2" i="28"/>
  <c r="P2" i="28"/>
  <c r="O2" i="28"/>
  <c r="N2" i="28"/>
  <c r="M2" i="28"/>
  <c r="L2" i="28"/>
  <c r="K2" i="28"/>
  <c r="K61" i="27"/>
  <c r="J61" i="27"/>
  <c r="I61" i="27"/>
  <c r="H61" i="27"/>
  <c r="G61" i="27"/>
  <c r="K60" i="27"/>
  <c r="J60" i="27"/>
  <c r="I60" i="27"/>
  <c r="H60" i="27"/>
  <c r="G60" i="27"/>
  <c r="K59" i="27"/>
  <c r="J59" i="27"/>
  <c r="I59" i="27"/>
  <c r="H59" i="27"/>
  <c r="G59" i="27"/>
  <c r="K58" i="27"/>
  <c r="J58" i="27"/>
  <c r="I58" i="27"/>
  <c r="H58" i="27"/>
  <c r="G58" i="27"/>
  <c r="K57" i="27"/>
  <c r="J57" i="27"/>
  <c r="I57" i="27"/>
  <c r="H57" i="27"/>
  <c r="G57" i="27"/>
  <c r="K56" i="27"/>
  <c r="J56" i="27"/>
  <c r="I56" i="27"/>
  <c r="H56" i="27"/>
  <c r="G56" i="27"/>
  <c r="K55" i="27"/>
  <c r="J55" i="27"/>
  <c r="I55" i="27"/>
  <c r="H55" i="27"/>
  <c r="G55" i="27"/>
  <c r="K54" i="27"/>
  <c r="J54" i="27"/>
  <c r="I54" i="27"/>
  <c r="H54" i="27"/>
  <c r="G54" i="27"/>
  <c r="K53" i="27"/>
  <c r="J53" i="27"/>
  <c r="I53" i="27"/>
  <c r="H53" i="27"/>
  <c r="G53" i="27"/>
  <c r="K52" i="27"/>
  <c r="J52" i="27"/>
  <c r="I52" i="27"/>
  <c r="H52" i="27"/>
  <c r="G52" i="27"/>
  <c r="K51" i="27"/>
  <c r="J51" i="27"/>
  <c r="I51" i="27"/>
  <c r="H51" i="27"/>
  <c r="G51" i="27"/>
  <c r="K50" i="27"/>
  <c r="J50" i="27"/>
  <c r="I50" i="27"/>
  <c r="H50" i="27"/>
  <c r="G50" i="27"/>
  <c r="K49" i="27"/>
  <c r="J49" i="27"/>
  <c r="I49" i="27"/>
  <c r="H49" i="27"/>
  <c r="G49" i="27"/>
  <c r="K48" i="27"/>
  <c r="J48" i="27"/>
  <c r="I48" i="27"/>
  <c r="H48" i="27"/>
  <c r="G48" i="27"/>
  <c r="K47" i="27"/>
  <c r="J47" i="27"/>
  <c r="I47" i="27"/>
  <c r="H47" i="27"/>
  <c r="G47" i="27"/>
  <c r="K46" i="27"/>
  <c r="J46" i="27"/>
  <c r="I46" i="27"/>
  <c r="H46" i="27"/>
  <c r="G46" i="27"/>
  <c r="K45" i="27"/>
  <c r="J45" i="27"/>
  <c r="I45" i="27"/>
  <c r="H45" i="27"/>
  <c r="G45" i="27"/>
  <c r="K44" i="27"/>
  <c r="J44" i="27"/>
  <c r="I44" i="27"/>
  <c r="H44" i="27"/>
  <c r="G44" i="27"/>
  <c r="K43" i="27"/>
  <c r="J43" i="27"/>
  <c r="I43" i="27"/>
  <c r="H43" i="27"/>
  <c r="G43" i="27"/>
  <c r="K42" i="27"/>
  <c r="J42" i="27"/>
  <c r="I42" i="27"/>
  <c r="H42" i="27"/>
  <c r="G42" i="27"/>
  <c r="K41" i="27"/>
  <c r="J41" i="27"/>
  <c r="I41" i="27"/>
  <c r="H41" i="27"/>
  <c r="G41" i="27"/>
  <c r="K40" i="27"/>
  <c r="J40" i="27"/>
  <c r="I40" i="27"/>
  <c r="H40" i="27"/>
  <c r="G40" i="27"/>
  <c r="K39" i="27"/>
  <c r="J39" i="27"/>
  <c r="I39" i="27"/>
  <c r="H39" i="27"/>
  <c r="G39" i="27"/>
  <c r="K38" i="27"/>
  <c r="J38" i="27"/>
  <c r="I38" i="27"/>
  <c r="H38" i="27"/>
  <c r="G38" i="27"/>
  <c r="K37" i="27"/>
  <c r="J37" i="27"/>
  <c r="I37" i="27"/>
  <c r="H37" i="27"/>
  <c r="G37" i="27"/>
  <c r="K36" i="27"/>
  <c r="J36" i="27"/>
  <c r="I36" i="27"/>
  <c r="H36" i="27"/>
  <c r="G36" i="27"/>
  <c r="K35" i="27"/>
  <c r="J35" i="27"/>
  <c r="I35" i="27"/>
  <c r="H35" i="27"/>
  <c r="G35" i="27"/>
  <c r="K34" i="27"/>
  <c r="J34" i="27"/>
  <c r="I34" i="27"/>
  <c r="H34" i="27"/>
  <c r="G34" i="27"/>
  <c r="K33" i="27"/>
  <c r="J33" i="27"/>
  <c r="I33" i="27"/>
  <c r="H33" i="27"/>
  <c r="G33" i="27"/>
  <c r="K32" i="27"/>
  <c r="J32" i="27"/>
  <c r="I32" i="27"/>
  <c r="H32" i="27"/>
  <c r="G32" i="27"/>
  <c r="K31" i="27"/>
  <c r="J31" i="27"/>
  <c r="I31" i="27"/>
  <c r="H31" i="27"/>
  <c r="G31" i="27"/>
  <c r="K30" i="27"/>
  <c r="J30" i="27"/>
  <c r="I30" i="27"/>
  <c r="H30" i="27"/>
  <c r="G30" i="27"/>
  <c r="K29" i="27"/>
  <c r="J29" i="27"/>
  <c r="I29" i="27"/>
  <c r="H29" i="27"/>
  <c r="G29" i="27"/>
  <c r="K28" i="27"/>
  <c r="J28" i="27"/>
  <c r="I28" i="27"/>
  <c r="H28" i="27"/>
  <c r="G28" i="27"/>
  <c r="K27" i="27"/>
  <c r="J27" i="27"/>
  <c r="I27" i="27"/>
  <c r="H27" i="27"/>
  <c r="G27" i="27"/>
  <c r="K26" i="27"/>
  <c r="J26" i="27"/>
  <c r="I26" i="27"/>
  <c r="H26" i="27"/>
  <c r="G26" i="27"/>
  <c r="K25" i="27"/>
  <c r="J25" i="27"/>
  <c r="I25" i="27"/>
  <c r="H25" i="27"/>
  <c r="G25" i="27"/>
  <c r="K24" i="27"/>
  <c r="J24" i="27"/>
  <c r="I24" i="27"/>
  <c r="H24" i="27"/>
  <c r="G24" i="27"/>
  <c r="K23" i="27"/>
  <c r="J23" i="27"/>
  <c r="I23" i="27"/>
  <c r="H23" i="27"/>
  <c r="G23" i="27"/>
  <c r="K22" i="27"/>
  <c r="J22" i="27"/>
  <c r="I22" i="27"/>
  <c r="H22" i="27"/>
  <c r="G22" i="27"/>
  <c r="K21" i="27"/>
  <c r="J21" i="27"/>
  <c r="I21" i="27"/>
  <c r="H21" i="27"/>
  <c r="G21" i="27"/>
  <c r="K20" i="27"/>
  <c r="J20" i="27"/>
  <c r="I20" i="27"/>
  <c r="H20" i="27"/>
  <c r="G20" i="27"/>
  <c r="K19" i="27"/>
  <c r="J19" i="27"/>
  <c r="I19" i="27"/>
  <c r="H19" i="27"/>
  <c r="G19" i="27"/>
  <c r="K18" i="27"/>
  <c r="J18" i="27"/>
  <c r="I18" i="27"/>
  <c r="H18" i="27"/>
  <c r="G18" i="27"/>
  <c r="K17" i="27"/>
  <c r="J17" i="27"/>
  <c r="I17" i="27"/>
  <c r="H17" i="27"/>
  <c r="G17" i="27"/>
  <c r="K16" i="27"/>
  <c r="J16" i="27"/>
  <c r="I16" i="27"/>
  <c r="H16" i="27"/>
  <c r="G16" i="27"/>
  <c r="K15" i="27"/>
  <c r="J15" i="27"/>
  <c r="I15" i="27"/>
  <c r="H15" i="27"/>
  <c r="G15" i="27"/>
  <c r="K14" i="27"/>
  <c r="J14" i="27"/>
  <c r="I14" i="27"/>
  <c r="H14" i="27"/>
  <c r="G14" i="27"/>
  <c r="K13" i="27"/>
  <c r="J13" i="27"/>
  <c r="I13" i="27"/>
  <c r="H13" i="27"/>
  <c r="G13" i="27"/>
  <c r="K12" i="27"/>
  <c r="J12" i="27"/>
  <c r="I12" i="27"/>
  <c r="H12" i="27"/>
  <c r="G12" i="27"/>
  <c r="K11" i="27"/>
  <c r="J11" i="27"/>
  <c r="I11" i="27"/>
  <c r="H11" i="27"/>
  <c r="G11" i="27"/>
  <c r="K10" i="27"/>
  <c r="J10" i="27"/>
  <c r="I10" i="27"/>
  <c r="H10" i="27"/>
  <c r="G10" i="27"/>
  <c r="K9" i="27"/>
  <c r="J9" i="27"/>
  <c r="I9" i="27"/>
  <c r="H9" i="27"/>
  <c r="G9" i="27"/>
  <c r="K8" i="27"/>
  <c r="J8" i="27"/>
  <c r="I8" i="27"/>
  <c r="H8" i="27"/>
  <c r="G8" i="27"/>
  <c r="K7" i="27"/>
  <c r="J7" i="27"/>
  <c r="I7" i="27"/>
  <c r="H7" i="27"/>
  <c r="G7" i="27"/>
  <c r="K6" i="27"/>
  <c r="J6" i="27"/>
  <c r="I6" i="27"/>
  <c r="H6" i="27"/>
  <c r="G6" i="27"/>
  <c r="K5" i="27"/>
  <c r="J5" i="27"/>
  <c r="I5" i="27"/>
  <c r="H5" i="27"/>
  <c r="G5" i="27"/>
  <c r="K4" i="27"/>
  <c r="J4" i="27"/>
  <c r="I4" i="27"/>
  <c r="H4" i="27"/>
  <c r="G4" i="27"/>
  <c r="K3" i="27"/>
  <c r="J3" i="27"/>
  <c r="I3" i="27"/>
  <c r="H3" i="27"/>
  <c r="G3" i="27"/>
  <c r="K2" i="27"/>
  <c r="J2" i="27"/>
  <c r="I2" i="27"/>
  <c r="H2" i="27"/>
  <c r="G2" i="27"/>
  <c r="Y61" i="26"/>
  <c r="X61" i="26"/>
  <c r="W61" i="26"/>
  <c r="V61" i="26"/>
  <c r="U61" i="26"/>
  <c r="T61" i="26"/>
  <c r="S61" i="26"/>
  <c r="R61" i="26"/>
  <c r="Q61" i="26"/>
  <c r="P61" i="26"/>
  <c r="O61" i="26"/>
  <c r="N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Y59" i="26"/>
  <c r="X59" i="26"/>
  <c r="W59" i="26"/>
  <c r="V59" i="26"/>
  <c r="U59" i="26"/>
  <c r="T59" i="26"/>
  <c r="S59" i="26"/>
  <c r="R59" i="26"/>
  <c r="Q59" i="26"/>
  <c r="P59" i="26"/>
  <c r="O59" i="26"/>
  <c r="N59" i="26"/>
  <c r="Y58" i="26"/>
  <c r="X58" i="26"/>
  <c r="W58" i="26"/>
  <c r="V58" i="26"/>
  <c r="U58" i="26"/>
  <c r="T58" i="26"/>
  <c r="S58" i="26"/>
  <c r="R58" i="26"/>
  <c r="Q58" i="26"/>
  <c r="P58" i="26"/>
  <c r="O58" i="26"/>
  <c r="N58" i="26"/>
  <c r="Y57" i="26"/>
  <c r="X57" i="26"/>
  <c r="W57" i="26"/>
  <c r="V57" i="26"/>
  <c r="U57" i="26"/>
  <c r="T57" i="26"/>
  <c r="S57" i="26"/>
  <c r="R57" i="26"/>
  <c r="Q57" i="26"/>
  <c r="P57" i="26"/>
  <c r="O57" i="26"/>
  <c r="N57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Y48" i="26"/>
  <c r="X48" i="26"/>
  <c r="W48" i="26"/>
  <c r="V48" i="26"/>
  <c r="U48" i="26"/>
  <c r="T48" i="26"/>
  <c r="S48" i="26"/>
  <c r="R48" i="26"/>
  <c r="Q48" i="26"/>
  <c r="P48" i="26"/>
  <c r="O48" i="26"/>
  <c r="N48" i="26"/>
  <c r="Y47" i="26"/>
  <c r="X47" i="26"/>
  <c r="W47" i="26"/>
  <c r="V47" i="26"/>
  <c r="U47" i="26"/>
  <c r="T47" i="26"/>
  <c r="S47" i="26"/>
  <c r="R47" i="26"/>
  <c r="Q47" i="26"/>
  <c r="P47" i="26"/>
  <c r="O47" i="26"/>
  <c r="N47" i="26"/>
  <c r="Y46" i="26"/>
  <c r="X46" i="26"/>
  <c r="W46" i="26"/>
  <c r="V46" i="26"/>
  <c r="U46" i="26"/>
  <c r="T46" i="26"/>
  <c r="S46" i="26"/>
  <c r="R46" i="26"/>
  <c r="Q46" i="26"/>
  <c r="P46" i="26"/>
  <c r="O46" i="26"/>
  <c r="N46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Y9" i="26"/>
  <c r="X9" i="26"/>
  <c r="W9" i="26"/>
  <c r="V9" i="26"/>
  <c r="U9" i="26"/>
  <c r="T9" i="26"/>
  <c r="S9" i="26"/>
  <c r="R9" i="26"/>
  <c r="Q9" i="26"/>
  <c r="P9" i="26"/>
  <c r="O9" i="26"/>
  <c r="N9" i="26"/>
  <c r="Y8" i="26"/>
  <c r="X8" i="26"/>
  <c r="W8" i="26"/>
  <c r="V8" i="26"/>
  <c r="U8" i="26"/>
  <c r="T8" i="26"/>
  <c r="S8" i="26"/>
  <c r="R8" i="26"/>
  <c r="Q8" i="26"/>
  <c r="P8" i="26"/>
  <c r="O8" i="26"/>
  <c r="N8" i="26"/>
  <c r="Y7" i="26"/>
  <c r="X7" i="26"/>
  <c r="W7" i="26"/>
  <c r="V7" i="26"/>
  <c r="U7" i="26"/>
  <c r="T7" i="26"/>
  <c r="S7" i="26"/>
  <c r="R7" i="26"/>
  <c r="Q7" i="26"/>
  <c r="P7" i="26"/>
  <c r="O7" i="26"/>
  <c r="N7" i="26"/>
  <c r="Y6" i="26"/>
  <c r="X6" i="26"/>
  <c r="W6" i="26"/>
  <c r="V6" i="26"/>
  <c r="U6" i="26"/>
  <c r="T6" i="26"/>
  <c r="S6" i="26"/>
  <c r="R6" i="26"/>
  <c r="Q6" i="26"/>
  <c r="P6" i="26"/>
  <c r="O6" i="26"/>
  <c r="N6" i="26"/>
  <c r="Y5" i="26"/>
  <c r="X5" i="26"/>
  <c r="W5" i="26"/>
  <c r="V5" i="26"/>
  <c r="U5" i="26"/>
  <c r="T5" i="26"/>
  <c r="S5" i="26"/>
  <c r="R5" i="26"/>
  <c r="Q5" i="26"/>
  <c r="P5" i="26"/>
  <c r="O5" i="26"/>
  <c r="N5" i="26"/>
  <c r="Y4" i="26"/>
  <c r="X4" i="26"/>
  <c r="W4" i="26"/>
  <c r="V4" i="26"/>
  <c r="U4" i="26"/>
  <c r="T4" i="26"/>
  <c r="S4" i="26"/>
  <c r="R4" i="26"/>
  <c r="Q4" i="26"/>
  <c r="P4" i="26"/>
  <c r="O4" i="26"/>
  <c r="N4" i="26"/>
  <c r="Y3" i="26"/>
  <c r="X3" i="26"/>
  <c r="W3" i="26"/>
  <c r="V3" i="26"/>
  <c r="U3" i="26"/>
  <c r="T3" i="26"/>
  <c r="S3" i="26"/>
  <c r="R3" i="26"/>
  <c r="Q3" i="26"/>
  <c r="P3" i="26"/>
  <c r="O3" i="26"/>
  <c r="N3" i="26"/>
  <c r="Y2" i="26"/>
  <c r="X2" i="26"/>
  <c r="W2" i="26"/>
  <c r="V2" i="26"/>
  <c r="U2" i="26"/>
  <c r="T2" i="26"/>
  <c r="S2" i="26"/>
  <c r="R2" i="26"/>
  <c r="Q2" i="26"/>
  <c r="P2" i="26"/>
  <c r="O2" i="26"/>
  <c r="K61" i="25"/>
  <c r="J61" i="25"/>
  <c r="I61" i="25"/>
  <c r="H61" i="25"/>
  <c r="G61" i="25"/>
  <c r="K60" i="25"/>
  <c r="J60" i="25"/>
  <c r="I60" i="25"/>
  <c r="H60" i="25"/>
  <c r="G60" i="25"/>
  <c r="K59" i="25"/>
  <c r="J59" i="25"/>
  <c r="I59" i="25"/>
  <c r="H59" i="25"/>
  <c r="G59" i="25"/>
  <c r="K58" i="25"/>
  <c r="J58" i="25"/>
  <c r="I58" i="25"/>
  <c r="H58" i="25"/>
  <c r="G58" i="25"/>
  <c r="K57" i="25"/>
  <c r="J57" i="25"/>
  <c r="I57" i="25"/>
  <c r="H57" i="25"/>
  <c r="G57" i="25"/>
  <c r="K56" i="25"/>
  <c r="J56" i="25"/>
  <c r="I56" i="25"/>
  <c r="H56" i="25"/>
  <c r="G56" i="25"/>
  <c r="K55" i="25"/>
  <c r="J55" i="25"/>
  <c r="I55" i="25"/>
  <c r="H55" i="25"/>
  <c r="G55" i="25"/>
  <c r="K54" i="25"/>
  <c r="J54" i="25"/>
  <c r="I54" i="25"/>
  <c r="H54" i="25"/>
  <c r="G54" i="25"/>
  <c r="K53" i="25"/>
  <c r="J53" i="25"/>
  <c r="I53" i="25"/>
  <c r="H53" i="25"/>
  <c r="G53" i="25"/>
  <c r="K52" i="25"/>
  <c r="J52" i="25"/>
  <c r="I52" i="25"/>
  <c r="H52" i="25"/>
  <c r="G52" i="25"/>
  <c r="K51" i="25"/>
  <c r="J51" i="25"/>
  <c r="I51" i="25"/>
  <c r="H51" i="25"/>
  <c r="G51" i="25"/>
  <c r="K50" i="25"/>
  <c r="J50" i="25"/>
  <c r="I50" i="25"/>
  <c r="H50" i="25"/>
  <c r="G50" i="25"/>
  <c r="K49" i="25"/>
  <c r="J49" i="25"/>
  <c r="I49" i="25"/>
  <c r="H49" i="25"/>
  <c r="G49" i="25"/>
  <c r="K48" i="25"/>
  <c r="J48" i="25"/>
  <c r="I48" i="25"/>
  <c r="H48" i="25"/>
  <c r="G48" i="25"/>
  <c r="K47" i="25"/>
  <c r="J47" i="25"/>
  <c r="I47" i="25"/>
  <c r="H47" i="25"/>
  <c r="G47" i="25"/>
  <c r="K46" i="25"/>
  <c r="J46" i="25"/>
  <c r="I46" i="25"/>
  <c r="H46" i="25"/>
  <c r="G46" i="25"/>
  <c r="K45" i="25"/>
  <c r="J45" i="25"/>
  <c r="I45" i="25"/>
  <c r="H45" i="25"/>
  <c r="G45" i="25"/>
  <c r="K44" i="25"/>
  <c r="J44" i="25"/>
  <c r="I44" i="25"/>
  <c r="H44" i="25"/>
  <c r="G44" i="25"/>
  <c r="K43" i="25"/>
  <c r="J43" i="25"/>
  <c r="I43" i="25"/>
  <c r="H43" i="25"/>
  <c r="G43" i="25"/>
  <c r="K42" i="25"/>
  <c r="J42" i="25"/>
  <c r="I42" i="25"/>
  <c r="H42" i="25"/>
  <c r="G42" i="25"/>
  <c r="K41" i="25"/>
  <c r="J41" i="25"/>
  <c r="I41" i="25"/>
  <c r="H41" i="25"/>
  <c r="G41" i="25"/>
  <c r="K40" i="25"/>
  <c r="J40" i="25"/>
  <c r="I40" i="25"/>
  <c r="H40" i="25"/>
  <c r="G40" i="25"/>
  <c r="K39" i="25"/>
  <c r="J39" i="25"/>
  <c r="I39" i="25"/>
  <c r="H39" i="25"/>
  <c r="G39" i="25"/>
  <c r="K38" i="25"/>
  <c r="J38" i="25"/>
  <c r="I38" i="25"/>
  <c r="H38" i="25"/>
  <c r="G38" i="25"/>
  <c r="K37" i="25"/>
  <c r="J37" i="25"/>
  <c r="I37" i="25"/>
  <c r="H37" i="25"/>
  <c r="G37" i="25"/>
  <c r="K36" i="25"/>
  <c r="J36" i="25"/>
  <c r="I36" i="25"/>
  <c r="H36" i="25"/>
  <c r="G36" i="25"/>
  <c r="K35" i="25"/>
  <c r="J35" i="25"/>
  <c r="I35" i="25"/>
  <c r="H35" i="25"/>
  <c r="G35" i="25"/>
  <c r="K34" i="25"/>
  <c r="J34" i="25"/>
  <c r="I34" i="25"/>
  <c r="H34" i="25"/>
  <c r="G34" i="25"/>
  <c r="K33" i="25"/>
  <c r="J33" i="25"/>
  <c r="I33" i="25"/>
  <c r="H33" i="25"/>
  <c r="G33" i="25"/>
  <c r="K32" i="25"/>
  <c r="J32" i="25"/>
  <c r="I32" i="25"/>
  <c r="H32" i="25"/>
  <c r="G32" i="25"/>
  <c r="K31" i="25"/>
  <c r="J31" i="25"/>
  <c r="I31" i="25"/>
  <c r="H31" i="25"/>
  <c r="G31" i="25"/>
  <c r="K30" i="25"/>
  <c r="J30" i="25"/>
  <c r="I30" i="25"/>
  <c r="H30" i="25"/>
  <c r="G30" i="25"/>
  <c r="K29" i="25"/>
  <c r="J29" i="25"/>
  <c r="I29" i="25"/>
  <c r="H29" i="25"/>
  <c r="G29" i="25"/>
  <c r="K28" i="25"/>
  <c r="J28" i="25"/>
  <c r="I28" i="25"/>
  <c r="H28" i="25"/>
  <c r="G28" i="25"/>
  <c r="K27" i="25"/>
  <c r="J27" i="25"/>
  <c r="I27" i="25"/>
  <c r="H27" i="25"/>
  <c r="G27" i="25"/>
  <c r="K26" i="25"/>
  <c r="J26" i="25"/>
  <c r="I26" i="25"/>
  <c r="H26" i="25"/>
  <c r="G26" i="25"/>
  <c r="K25" i="25"/>
  <c r="J25" i="25"/>
  <c r="I25" i="25"/>
  <c r="H25" i="25"/>
  <c r="G25" i="25"/>
  <c r="K24" i="25"/>
  <c r="J24" i="25"/>
  <c r="I24" i="25"/>
  <c r="H24" i="25"/>
  <c r="G24" i="25"/>
  <c r="K23" i="25"/>
  <c r="J23" i="25"/>
  <c r="I23" i="25"/>
  <c r="H23" i="25"/>
  <c r="G23" i="25"/>
  <c r="K22" i="25"/>
  <c r="J22" i="25"/>
  <c r="I22" i="25"/>
  <c r="H22" i="25"/>
  <c r="G22" i="25"/>
  <c r="K21" i="25"/>
  <c r="J21" i="25"/>
  <c r="I21" i="25"/>
  <c r="H21" i="25"/>
  <c r="G21" i="25"/>
  <c r="K20" i="25"/>
  <c r="J20" i="25"/>
  <c r="I20" i="25"/>
  <c r="H20" i="25"/>
  <c r="G20" i="25"/>
  <c r="K19" i="25"/>
  <c r="J19" i="25"/>
  <c r="I19" i="25"/>
  <c r="H19" i="25"/>
  <c r="G19" i="25"/>
  <c r="K18" i="25"/>
  <c r="J18" i="25"/>
  <c r="I18" i="25"/>
  <c r="H18" i="25"/>
  <c r="G18" i="25"/>
  <c r="K17" i="25"/>
  <c r="J17" i="25"/>
  <c r="I17" i="25"/>
  <c r="H17" i="25"/>
  <c r="G17" i="25"/>
  <c r="K16" i="25"/>
  <c r="J16" i="25"/>
  <c r="I16" i="25"/>
  <c r="H16" i="25"/>
  <c r="G16" i="25"/>
  <c r="K15" i="25"/>
  <c r="J15" i="25"/>
  <c r="I15" i="25"/>
  <c r="H15" i="25"/>
  <c r="G15" i="25"/>
  <c r="K14" i="25"/>
  <c r="J14" i="25"/>
  <c r="I14" i="25"/>
  <c r="H14" i="25"/>
  <c r="G14" i="25"/>
  <c r="K13" i="25"/>
  <c r="J13" i="25"/>
  <c r="I13" i="25"/>
  <c r="H13" i="25"/>
  <c r="G13" i="25"/>
  <c r="K12" i="25"/>
  <c r="J12" i="25"/>
  <c r="I12" i="25"/>
  <c r="H12" i="25"/>
  <c r="G12" i="25"/>
  <c r="K11" i="25"/>
  <c r="J11" i="25"/>
  <c r="I11" i="25"/>
  <c r="H11" i="25"/>
  <c r="G11" i="25"/>
  <c r="K10" i="25"/>
  <c r="J10" i="25"/>
  <c r="I10" i="25"/>
  <c r="H10" i="25"/>
  <c r="G10" i="25"/>
  <c r="K9" i="25"/>
  <c r="J9" i="25"/>
  <c r="I9" i="25"/>
  <c r="H9" i="25"/>
  <c r="G9" i="25"/>
  <c r="K8" i="25"/>
  <c r="J8" i="25"/>
  <c r="I8" i="25"/>
  <c r="H8" i="25"/>
  <c r="G8" i="25"/>
  <c r="K7" i="25"/>
  <c r="J7" i="25"/>
  <c r="I7" i="25"/>
  <c r="H7" i="25"/>
  <c r="G7" i="25"/>
  <c r="K6" i="25"/>
  <c r="J6" i="25"/>
  <c r="I6" i="25"/>
  <c r="H6" i="25"/>
  <c r="G6" i="25"/>
  <c r="K5" i="25"/>
  <c r="J5" i="25"/>
  <c r="I5" i="25"/>
  <c r="H5" i="25"/>
  <c r="G5" i="25"/>
  <c r="K4" i="25"/>
  <c r="J4" i="25"/>
  <c r="I4" i="25"/>
  <c r="H4" i="25"/>
  <c r="G4" i="25"/>
  <c r="K3" i="25"/>
  <c r="J3" i="25"/>
  <c r="I3" i="25"/>
  <c r="H3" i="25"/>
  <c r="G3" i="25"/>
  <c r="K2" i="25"/>
  <c r="J2" i="25"/>
  <c r="I2" i="25"/>
  <c r="H2" i="25"/>
  <c r="G2" i="25"/>
  <c r="M61" i="24"/>
  <c r="L61" i="24"/>
  <c r="K61" i="24"/>
  <c r="J61" i="24"/>
  <c r="I61" i="24"/>
  <c r="H61" i="24"/>
  <c r="M60" i="24"/>
  <c r="L60" i="24"/>
  <c r="K60" i="24"/>
  <c r="J60" i="24"/>
  <c r="I60" i="24"/>
  <c r="H60" i="24"/>
  <c r="M59" i="24"/>
  <c r="L59" i="24"/>
  <c r="K59" i="24"/>
  <c r="J59" i="24"/>
  <c r="I59" i="24"/>
  <c r="H59" i="24"/>
  <c r="M58" i="24"/>
  <c r="L58" i="24"/>
  <c r="K58" i="24"/>
  <c r="J58" i="24"/>
  <c r="I58" i="24"/>
  <c r="H58" i="24"/>
  <c r="M57" i="24"/>
  <c r="L57" i="24"/>
  <c r="K57" i="24"/>
  <c r="J57" i="24"/>
  <c r="I57" i="24"/>
  <c r="H57" i="24"/>
  <c r="M56" i="24"/>
  <c r="L56" i="24"/>
  <c r="K56" i="24"/>
  <c r="J56" i="24"/>
  <c r="I56" i="24"/>
  <c r="H56" i="24"/>
  <c r="M55" i="24"/>
  <c r="L55" i="24"/>
  <c r="K55" i="24"/>
  <c r="J55" i="24"/>
  <c r="I55" i="24"/>
  <c r="H55" i="24"/>
  <c r="M54" i="24"/>
  <c r="L54" i="24"/>
  <c r="K54" i="24"/>
  <c r="J54" i="24"/>
  <c r="I54" i="24"/>
  <c r="H54" i="24"/>
  <c r="M53" i="24"/>
  <c r="L53" i="24"/>
  <c r="K53" i="24"/>
  <c r="J53" i="24"/>
  <c r="I53" i="24"/>
  <c r="H53" i="24"/>
  <c r="M52" i="24"/>
  <c r="L52" i="24"/>
  <c r="K52" i="24"/>
  <c r="J52" i="24"/>
  <c r="I52" i="24"/>
  <c r="H52" i="24"/>
  <c r="M51" i="24"/>
  <c r="L51" i="24"/>
  <c r="K51" i="24"/>
  <c r="J51" i="24"/>
  <c r="I51" i="24"/>
  <c r="H51" i="24"/>
  <c r="M50" i="24"/>
  <c r="L50" i="24"/>
  <c r="K50" i="24"/>
  <c r="J50" i="24"/>
  <c r="I50" i="24"/>
  <c r="H50" i="24"/>
  <c r="M49" i="24"/>
  <c r="L49" i="24"/>
  <c r="K49" i="24"/>
  <c r="J49" i="24"/>
  <c r="I49" i="24"/>
  <c r="H49" i="24"/>
  <c r="M48" i="24"/>
  <c r="L48" i="24"/>
  <c r="K48" i="24"/>
  <c r="J48" i="24"/>
  <c r="I48" i="24"/>
  <c r="H48" i="24"/>
  <c r="M47" i="24"/>
  <c r="L47" i="24"/>
  <c r="K47" i="24"/>
  <c r="J47" i="24"/>
  <c r="I47" i="24"/>
  <c r="H47" i="24"/>
  <c r="M46" i="24"/>
  <c r="L46" i="24"/>
  <c r="K46" i="24"/>
  <c r="J46" i="24"/>
  <c r="I46" i="24"/>
  <c r="H46" i="24"/>
  <c r="M45" i="24"/>
  <c r="L45" i="24"/>
  <c r="K45" i="24"/>
  <c r="J45" i="24"/>
  <c r="I45" i="24"/>
  <c r="H45" i="24"/>
  <c r="M44" i="24"/>
  <c r="L44" i="24"/>
  <c r="K44" i="24"/>
  <c r="J44" i="24"/>
  <c r="I44" i="24"/>
  <c r="H44" i="24"/>
  <c r="M43" i="24"/>
  <c r="L43" i="24"/>
  <c r="K43" i="24"/>
  <c r="J43" i="24"/>
  <c r="I43" i="24"/>
  <c r="H43" i="24"/>
  <c r="M42" i="24"/>
  <c r="L42" i="24"/>
  <c r="K42" i="24"/>
  <c r="J42" i="24"/>
  <c r="I42" i="24"/>
  <c r="H42" i="24"/>
  <c r="M41" i="24"/>
  <c r="L41" i="24"/>
  <c r="K41" i="24"/>
  <c r="J41" i="24"/>
  <c r="I41" i="24"/>
  <c r="H41" i="24"/>
  <c r="M40" i="24"/>
  <c r="L40" i="24"/>
  <c r="K40" i="24"/>
  <c r="J40" i="24"/>
  <c r="I40" i="24"/>
  <c r="H40" i="24"/>
  <c r="M39" i="24"/>
  <c r="L39" i="24"/>
  <c r="K39" i="24"/>
  <c r="J39" i="24"/>
  <c r="I39" i="24"/>
  <c r="H39" i="24"/>
  <c r="M38" i="24"/>
  <c r="L38" i="24"/>
  <c r="K38" i="24"/>
  <c r="J38" i="24"/>
  <c r="I38" i="24"/>
  <c r="H38" i="24"/>
  <c r="M37" i="24"/>
  <c r="L37" i="24"/>
  <c r="K37" i="24"/>
  <c r="J37" i="24"/>
  <c r="I37" i="24"/>
  <c r="H37" i="24"/>
  <c r="M36" i="24"/>
  <c r="L36" i="24"/>
  <c r="K36" i="24"/>
  <c r="J36" i="24"/>
  <c r="I36" i="24"/>
  <c r="H36" i="24"/>
  <c r="M35" i="24"/>
  <c r="L35" i="24"/>
  <c r="K35" i="24"/>
  <c r="J35" i="24"/>
  <c r="I35" i="24"/>
  <c r="H35" i="24"/>
  <c r="M34" i="24"/>
  <c r="L34" i="24"/>
  <c r="K34" i="24"/>
  <c r="J34" i="24"/>
  <c r="I34" i="24"/>
  <c r="H34" i="24"/>
  <c r="M33" i="24"/>
  <c r="L33" i="24"/>
  <c r="K33" i="24"/>
  <c r="J33" i="24"/>
  <c r="I33" i="24"/>
  <c r="H33" i="24"/>
  <c r="M32" i="24"/>
  <c r="L32" i="24"/>
  <c r="K32" i="24"/>
  <c r="J32" i="24"/>
  <c r="I32" i="24"/>
  <c r="H32" i="24"/>
  <c r="M31" i="24"/>
  <c r="L31" i="24"/>
  <c r="K31" i="24"/>
  <c r="J31" i="24"/>
  <c r="I31" i="24"/>
  <c r="H31" i="24"/>
  <c r="M30" i="24"/>
  <c r="L30" i="24"/>
  <c r="K30" i="24"/>
  <c r="J30" i="24"/>
  <c r="I30" i="24"/>
  <c r="H30" i="24"/>
  <c r="M29" i="24"/>
  <c r="L29" i="24"/>
  <c r="K29" i="24"/>
  <c r="J29" i="24"/>
  <c r="I29" i="24"/>
  <c r="H29" i="24"/>
  <c r="M28" i="24"/>
  <c r="L28" i="24"/>
  <c r="K28" i="24"/>
  <c r="J28" i="24"/>
  <c r="I28" i="24"/>
  <c r="H28" i="24"/>
  <c r="M27" i="24"/>
  <c r="L27" i="24"/>
  <c r="K27" i="24"/>
  <c r="J27" i="24"/>
  <c r="I27" i="24"/>
  <c r="H27" i="24"/>
  <c r="M26" i="24"/>
  <c r="L26" i="24"/>
  <c r="K26" i="24"/>
  <c r="J26" i="24"/>
  <c r="I26" i="24"/>
  <c r="H26" i="24"/>
  <c r="M25" i="24"/>
  <c r="L25" i="24"/>
  <c r="K25" i="24"/>
  <c r="J25" i="24"/>
  <c r="I25" i="24"/>
  <c r="H25" i="24"/>
  <c r="M24" i="24"/>
  <c r="L24" i="24"/>
  <c r="K24" i="24"/>
  <c r="J24" i="24"/>
  <c r="I24" i="24"/>
  <c r="H24" i="24"/>
  <c r="M23" i="24"/>
  <c r="L23" i="24"/>
  <c r="K23" i="24"/>
  <c r="J23" i="24"/>
  <c r="I23" i="24"/>
  <c r="H23" i="24"/>
  <c r="M22" i="24"/>
  <c r="L22" i="24"/>
  <c r="K22" i="24"/>
  <c r="J22" i="24"/>
  <c r="I22" i="24"/>
  <c r="H22" i="24"/>
  <c r="M21" i="24"/>
  <c r="L21" i="24"/>
  <c r="K21" i="24"/>
  <c r="J21" i="24"/>
  <c r="I21" i="24"/>
  <c r="H21" i="24"/>
  <c r="M20" i="24"/>
  <c r="L20" i="24"/>
  <c r="K20" i="24"/>
  <c r="J20" i="24"/>
  <c r="I20" i="24"/>
  <c r="H20" i="24"/>
  <c r="M19" i="24"/>
  <c r="L19" i="24"/>
  <c r="K19" i="24"/>
  <c r="J19" i="24"/>
  <c r="I19" i="24"/>
  <c r="H19" i="24"/>
  <c r="M18" i="24"/>
  <c r="L18" i="24"/>
  <c r="K18" i="24"/>
  <c r="J18" i="24"/>
  <c r="I18" i="24"/>
  <c r="H18" i="24"/>
  <c r="M17" i="24"/>
  <c r="L17" i="24"/>
  <c r="K17" i="24"/>
  <c r="J17" i="24"/>
  <c r="I17" i="24"/>
  <c r="H17" i="24"/>
  <c r="M16" i="24"/>
  <c r="L16" i="24"/>
  <c r="K16" i="24"/>
  <c r="J16" i="24"/>
  <c r="I16" i="24"/>
  <c r="H16" i="24"/>
  <c r="M15" i="24"/>
  <c r="L15" i="24"/>
  <c r="K15" i="24"/>
  <c r="J15" i="24"/>
  <c r="I15" i="24"/>
  <c r="H15" i="24"/>
  <c r="M14" i="24"/>
  <c r="L14" i="24"/>
  <c r="K14" i="24"/>
  <c r="J14" i="24"/>
  <c r="I14" i="24"/>
  <c r="H14" i="24"/>
  <c r="M13" i="24"/>
  <c r="L13" i="24"/>
  <c r="K13" i="24"/>
  <c r="J13" i="24"/>
  <c r="I13" i="24"/>
  <c r="H13" i="24"/>
  <c r="M12" i="24"/>
  <c r="L12" i="24"/>
  <c r="K12" i="24"/>
  <c r="J12" i="24"/>
  <c r="I12" i="24"/>
  <c r="H12" i="24"/>
  <c r="M11" i="24"/>
  <c r="L11" i="24"/>
  <c r="K11" i="24"/>
  <c r="J11" i="24"/>
  <c r="I11" i="24"/>
  <c r="H11" i="24"/>
  <c r="M10" i="24"/>
  <c r="L10" i="24"/>
  <c r="K10" i="24"/>
  <c r="J10" i="24"/>
  <c r="I10" i="24"/>
  <c r="H10" i="24"/>
  <c r="M9" i="24"/>
  <c r="L9" i="24"/>
  <c r="K9" i="24"/>
  <c r="J9" i="24"/>
  <c r="I9" i="24"/>
  <c r="H9" i="24"/>
  <c r="M8" i="24"/>
  <c r="L8" i="24"/>
  <c r="K8" i="24"/>
  <c r="J8" i="24"/>
  <c r="I8" i="24"/>
  <c r="H8" i="24"/>
  <c r="M7" i="24"/>
  <c r="L7" i="24"/>
  <c r="K7" i="24"/>
  <c r="J7" i="24"/>
  <c r="I7" i="24"/>
  <c r="H7" i="24"/>
  <c r="M6" i="24"/>
  <c r="L6" i="24"/>
  <c r="K6" i="24"/>
  <c r="J6" i="24"/>
  <c r="I6" i="24"/>
  <c r="H6" i="24"/>
  <c r="M5" i="24"/>
  <c r="L5" i="24"/>
  <c r="K5" i="24"/>
  <c r="J5" i="24"/>
  <c r="I5" i="24"/>
  <c r="H5" i="24"/>
  <c r="M4" i="24"/>
  <c r="L4" i="24"/>
  <c r="K4" i="24"/>
  <c r="J4" i="24"/>
  <c r="I4" i="24"/>
  <c r="H4" i="24"/>
  <c r="M3" i="24"/>
  <c r="L3" i="24"/>
  <c r="K3" i="24"/>
  <c r="J3" i="24"/>
  <c r="I3" i="24"/>
  <c r="H3" i="24"/>
  <c r="M2" i="24"/>
  <c r="L2" i="24"/>
  <c r="K2" i="24"/>
  <c r="J2" i="24"/>
  <c r="I2" i="24"/>
  <c r="H2" i="24"/>
  <c r="K61" i="23"/>
  <c r="J61" i="23"/>
  <c r="I61" i="23"/>
  <c r="H61" i="23"/>
  <c r="G61" i="23"/>
  <c r="K60" i="23"/>
  <c r="J60" i="23"/>
  <c r="I60" i="23"/>
  <c r="H60" i="23"/>
  <c r="G60" i="23"/>
  <c r="K59" i="23"/>
  <c r="J59" i="23"/>
  <c r="I59" i="23"/>
  <c r="H59" i="23"/>
  <c r="G59" i="23"/>
  <c r="K58" i="23"/>
  <c r="J58" i="23"/>
  <c r="I58" i="23"/>
  <c r="H58" i="23"/>
  <c r="G58" i="23"/>
  <c r="K57" i="23"/>
  <c r="J57" i="23"/>
  <c r="I57" i="23"/>
  <c r="H57" i="23"/>
  <c r="G57" i="23"/>
  <c r="K56" i="23"/>
  <c r="J56" i="23"/>
  <c r="I56" i="23"/>
  <c r="H56" i="23"/>
  <c r="G56" i="23"/>
  <c r="K55" i="23"/>
  <c r="J55" i="23"/>
  <c r="I55" i="23"/>
  <c r="H55" i="23"/>
  <c r="G55" i="23"/>
  <c r="K54" i="23"/>
  <c r="J54" i="23"/>
  <c r="I54" i="23"/>
  <c r="H54" i="23"/>
  <c r="G54" i="23"/>
  <c r="K53" i="23"/>
  <c r="J53" i="23"/>
  <c r="I53" i="23"/>
  <c r="H53" i="23"/>
  <c r="G53" i="23"/>
  <c r="K52" i="23"/>
  <c r="J52" i="23"/>
  <c r="I52" i="23"/>
  <c r="H52" i="23"/>
  <c r="G52" i="23"/>
  <c r="K51" i="23"/>
  <c r="J51" i="23"/>
  <c r="I51" i="23"/>
  <c r="H51" i="23"/>
  <c r="G51" i="23"/>
  <c r="K50" i="23"/>
  <c r="J50" i="23"/>
  <c r="I50" i="23"/>
  <c r="H50" i="23"/>
  <c r="G50" i="23"/>
  <c r="K49" i="23"/>
  <c r="J49" i="23"/>
  <c r="I49" i="23"/>
  <c r="H49" i="23"/>
  <c r="G49" i="23"/>
  <c r="K48" i="23"/>
  <c r="J48" i="23"/>
  <c r="I48" i="23"/>
  <c r="H48" i="23"/>
  <c r="G48" i="23"/>
  <c r="K47" i="23"/>
  <c r="J47" i="23"/>
  <c r="I47" i="23"/>
  <c r="H47" i="23"/>
  <c r="G47" i="23"/>
  <c r="K46" i="23"/>
  <c r="J46" i="23"/>
  <c r="I46" i="23"/>
  <c r="H46" i="23"/>
  <c r="G46" i="23"/>
  <c r="K45" i="23"/>
  <c r="J45" i="23"/>
  <c r="I45" i="23"/>
  <c r="H45" i="23"/>
  <c r="G45" i="23"/>
  <c r="K44" i="23"/>
  <c r="J44" i="23"/>
  <c r="I44" i="23"/>
  <c r="H44" i="23"/>
  <c r="G44" i="23"/>
  <c r="K43" i="23"/>
  <c r="J43" i="23"/>
  <c r="I43" i="23"/>
  <c r="H43" i="23"/>
  <c r="G43" i="23"/>
  <c r="K42" i="23"/>
  <c r="J42" i="23"/>
  <c r="I42" i="23"/>
  <c r="H42" i="23"/>
  <c r="G42" i="23"/>
  <c r="K41" i="23"/>
  <c r="J41" i="23"/>
  <c r="I41" i="23"/>
  <c r="H41" i="23"/>
  <c r="G41" i="23"/>
  <c r="K40" i="23"/>
  <c r="J40" i="23"/>
  <c r="I40" i="23"/>
  <c r="H40" i="23"/>
  <c r="G40" i="23"/>
  <c r="K39" i="23"/>
  <c r="J39" i="23"/>
  <c r="I39" i="23"/>
  <c r="H39" i="23"/>
  <c r="G39" i="23"/>
  <c r="K38" i="23"/>
  <c r="J38" i="23"/>
  <c r="I38" i="23"/>
  <c r="H38" i="23"/>
  <c r="G38" i="23"/>
  <c r="K37" i="23"/>
  <c r="J37" i="23"/>
  <c r="I37" i="23"/>
  <c r="H37" i="23"/>
  <c r="G37" i="23"/>
  <c r="K36" i="23"/>
  <c r="J36" i="23"/>
  <c r="I36" i="23"/>
  <c r="H36" i="23"/>
  <c r="G36" i="23"/>
  <c r="K35" i="23"/>
  <c r="J35" i="23"/>
  <c r="I35" i="23"/>
  <c r="H35" i="23"/>
  <c r="G35" i="23"/>
  <c r="K34" i="23"/>
  <c r="J34" i="23"/>
  <c r="I34" i="23"/>
  <c r="H34" i="23"/>
  <c r="G34" i="23"/>
  <c r="K33" i="23"/>
  <c r="J33" i="23"/>
  <c r="I33" i="23"/>
  <c r="H33" i="23"/>
  <c r="G33" i="23"/>
  <c r="K32" i="23"/>
  <c r="J32" i="23"/>
  <c r="I32" i="23"/>
  <c r="H32" i="23"/>
  <c r="G32" i="23"/>
  <c r="K31" i="23"/>
  <c r="J31" i="23"/>
  <c r="I31" i="23"/>
  <c r="H31" i="23"/>
  <c r="G31" i="23"/>
  <c r="K30" i="23"/>
  <c r="J30" i="23"/>
  <c r="I30" i="23"/>
  <c r="H30" i="23"/>
  <c r="G30" i="23"/>
  <c r="K29" i="23"/>
  <c r="J29" i="23"/>
  <c r="I29" i="23"/>
  <c r="H29" i="23"/>
  <c r="G29" i="23"/>
  <c r="K28" i="23"/>
  <c r="J28" i="23"/>
  <c r="I28" i="23"/>
  <c r="H28" i="23"/>
  <c r="G28" i="23"/>
  <c r="K27" i="23"/>
  <c r="J27" i="23"/>
  <c r="I27" i="23"/>
  <c r="H27" i="23"/>
  <c r="G27" i="23"/>
  <c r="K26" i="23"/>
  <c r="J26" i="23"/>
  <c r="I26" i="23"/>
  <c r="H26" i="23"/>
  <c r="G26" i="23"/>
  <c r="K25" i="23"/>
  <c r="J25" i="23"/>
  <c r="I25" i="23"/>
  <c r="H25" i="23"/>
  <c r="G25" i="23"/>
  <c r="K24" i="23"/>
  <c r="J24" i="23"/>
  <c r="I24" i="23"/>
  <c r="H24" i="23"/>
  <c r="G24" i="23"/>
  <c r="K23" i="23"/>
  <c r="J23" i="23"/>
  <c r="I23" i="23"/>
  <c r="H23" i="23"/>
  <c r="G23" i="23"/>
  <c r="K22" i="23"/>
  <c r="J22" i="23"/>
  <c r="I22" i="23"/>
  <c r="H22" i="23"/>
  <c r="G22" i="23"/>
  <c r="K21" i="23"/>
  <c r="J21" i="23"/>
  <c r="I21" i="23"/>
  <c r="H21" i="23"/>
  <c r="G21" i="23"/>
  <c r="K20" i="23"/>
  <c r="J20" i="23"/>
  <c r="I20" i="23"/>
  <c r="H20" i="23"/>
  <c r="G20" i="23"/>
  <c r="K19" i="23"/>
  <c r="J19" i="23"/>
  <c r="I19" i="23"/>
  <c r="H19" i="23"/>
  <c r="G19" i="23"/>
  <c r="K18" i="23"/>
  <c r="J18" i="23"/>
  <c r="I18" i="23"/>
  <c r="H18" i="23"/>
  <c r="G18" i="23"/>
  <c r="K17" i="23"/>
  <c r="J17" i="23"/>
  <c r="I17" i="23"/>
  <c r="H17" i="23"/>
  <c r="G17" i="23"/>
  <c r="K16" i="23"/>
  <c r="J16" i="23"/>
  <c r="I16" i="23"/>
  <c r="H16" i="23"/>
  <c r="G16" i="23"/>
  <c r="K15" i="23"/>
  <c r="J15" i="23"/>
  <c r="I15" i="23"/>
  <c r="H15" i="23"/>
  <c r="G15" i="23"/>
  <c r="K14" i="23"/>
  <c r="J14" i="23"/>
  <c r="I14" i="23"/>
  <c r="H14" i="23"/>
  <c r="G14" i="23"/>
  <c r="K13" i="23"/>
  <c r="J13" i="23"/>
  <c r="I13" i="23"/>
  <c r="H13" i="23"/>
  <c r="G13" i="23"/>
  <c r="K12" i="23"/>
  <c r="J12" i="23"/>
  <c r="I12" i="23"/>
  <c r="H12" i="23"/>
  <c r="G12" i="23"/>
  <c r="K11" i="23"/>
  <c r="J11" i="23"/>
  <c r="I11" i="23"/>
  <c r="H11" i="23"/>
  <c r="G11" i="23"/>
  <c r="K10" i="23"/>
  <c r="J10" i="23"/>
  <c r="I10" i="23"/>
  <c r="H10" i="23"/>
  <c r="G10" i="23"/>
  <c r="K9" i="23"/>
  <c r="J9" i="23"/>
  <c r="I9" i="23"/>
  <c r="H9" i="23"/>
  <c r="G9" i="23"/>
  <c r="K8" i="23"/>
  <c r="J8" i="23"/>
  <c r="I8" i="23"/>
  <c r="H8" i="23"/>
  <c r="G8" i="23"/>
  <c r="K7" i="23"/>
  <c r="J7" i="23"/>
  <c r="I7" i="23"/>
  <c r="H7" i="23"/>
  <c r="G7" i="23"/>
  <c r="K6" i="23"/>
  <c r="J6" i="23"/>
  <c r="I6" i="23"/>
  <c r="H6" i="23"/>
  <c r="G6" i="23"/>
  <c r="K5" i="23"/>
  <c r="J5" i="23"/>
  <c r="I5" i="23"/>
  <c r="H5" i="23"/>
  <c r="G5" i="23"/>
  <c r="K4" i="23"/>
  <c r="J4" i="23"/>
  <c r="I4" i="23"/>
  <c r="H4" i="23"/>
  <c r="G4" i="23"/>
  <c r="K3" i="23"/>
  <c r="J3" i="23"/>
  <c r="I3" i="23"/>
  <c r="H3" i="23"/>
  <c r="G3" i="23"/>
  <c r="K2" i="23"/>
  <c r="J2" i="23"/>
  <c r="I2" i="23"/>
  <c r="G2" i="23"/>
  <c r="E61" i="22"/>
  <c r="D61" i="22"/>
  <c r="E60" i="22"/>
  <c r="D60" i="22"/>
  <c r="E59" i="22"/>
  <c r="D59" i="22"/>
  <c r="E58" i="22"/>
  <c r="D58" i="22"/>
  <c r="E57" i="22"/>
  <c r="D57" i="22"/>
  <c r="E56" i="22"/>
  <c r="D56" i="22"/>
  <c r="E55" i="22"/>
  <c r="D55" i="22"/>
  <c r="E54" i="22"/>
  <c r="D54" i="22"/>
  <c r="E53" i="22"/>
  <c r="D53" i="22"/>
  <c r="E52" i="22"/>
  <c r="D52" i="22"/>
  <c r="E51" i="22"/>
  <c r="D51" i="22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E36" i="22"/>
  <c r="D36" i="22"/>
  <c r="E35" i="22"/>
  <c r="D35" i="22"/>
  <c r="E34" i="22"/>
  <c r="D34" i="22"/>
  <c r="E33" i="22"/>
  <c r="D33" i="22"/>
  <c r="E32" i="22"/>
  <c r="D32" i="22"/>
  <c r="E31" i="22"/>
  <c r="D31" i="22"/>
  <c r="E30" i="22"/>
  <c r="D30" i="22"/>
  <c r="E29" i="22"/>
  <c r="D29" i="22"/>
  <c r="E28" i="22"/>
  <c r="D28" i="22"/>
  <c r="E27" i="22"/>
  <c r="D27" i="22"/>
  <c r="E26" i="22"/>
  <c r="D26" i="22"/>
  <c r="E25" i="22"/>
  <c r="D25" i="22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E16" i="22"/>
  <c r="D16" i="22"/>
  <c r="E15" i="22"/>
  <c r="D15" i="22"/>
  <c r="E14" i="22"/>
  <c r="D14" i="22"/>
  <c r="E13" i="22"/>
  <c r="D13" i="22"/>
  <c r="E12" i="22"/>
  <c r="D12" i="22"/>
  <c r="E11" i="22"/>
  <c r="D11" i="22"/>
  <c r="E10" i="22"/>
  <c r="D10" i="22"/>
  <c r="E9" i="22"/>
  <c r="D9" i="22"/>
  <c r="E8" i="22"/>
  <c r="D8" i="22"/>
  <c r="E7" i="22"/>
  <c r="D7" i="22"/>
  <c r="E6" i="22"/>
  <c r="D6" i="22"/>
  <c r="E5" i="22"/>
  <c r="D5" i="22"/>
  <c r="E4" i="22"/>
  <c r="D4" i="22"/>
  <c r="E3" i="22"/>
  <c r="D3" i="22"/>
  <c r="E2" i="22"/>
  <c r="D2" i="22"/>
  <c r="N2" i="26" s="1"/>
  <c r="E61" i="21"/>
  <c r="D61" i="21"/>
  <c r="E60" i="21"/>
  <c r="D60" i="21"/>
  <c r="E59" i="21"/>
  <c r="D59" i="21"/>
  <c r="E58" i="21"/>
  <c r="D58" i="21"/>
  <c r="E57" i="21"/>
  <c r="D57" i="21"/>
  <c r="E56" i="21"/>
  <c r="D56" i="21"/>
  <c r="E55" i="21"/>
  <c r="D55" i="21"/>
  <c r="E54" i="21"/>
  <c r="D54" i="21"/>
  <c r="E53" i="21"/>
  <c r="D53" i="21"/>
  <c r="E52" i="21"/>
  <c r="D52" i="21"/>
  <c r="E51" i="21"/>
  <c r="D51" i="21"/>
  <c r="E50" i="21"/>
  <c r="D50" i="21"/>
  <c r="E49" i="21"/>
  <c r="D49" i="21"/>
  <c r="E48" i="21"/>
  <c r="D48" i="21"/>
  <c r="E47" i="21"/>
  <c r="D47" i="21"/>
  <c r="E46" i="21"/>
  <c r="D46" i="21"/>
  <c r="E45" i="21"/>
  <c r="D45" i="21"/>
  <c r="E44" i="21"/>
  <c r="D44" i="21"/>
  <c r="E43" i="21"/>
  <c r="D43" i="21"/>
  <c r="E42" i="21"/>
  <c r="D42" i="21"/>
  <c r="E41" i="21"/>
  <c r="D41" i="21"/>
  <c r="E40" i="21"/>
  <c r="D40" i="21"/>
  <c r="E39" i="21"/>
  <c r="D39" i="21"/>
  <c r="E38" i="21"/>
  <c r="D38" i="21"/>
  <c r="E37" i="21"/>
  <c r="D37" i="21"/>
  <c r="E36" i="21"/>
  <c r="D36" i="21"/>
  <c r="E35" i="21"/>
  <c r="D35" i="21"/>
  <c r="E34" i="21"/>
  <c r="D34" i="21"/>
  <c r="E33" i="21"/>
  <c r="D33" i="21"/>
  <c r="E32" i="21"/>
  <c r="D32" i="21"/>
  <c r="E31" i="21"/>
  <c r="D31" i="21"/>
  <c r="E30" i="21"/>
  <c r="D30" i="21"/>
  <c r="E29" i="21"/>
  <c r="D29" i="21"/>
  <c r="E28" i="21"/>
  <c r="D28" i="21"/>
  <c r="E27" i="21"/>
  <c r="D27" i="21"/>
  <c r="E26" i="21"/>
  <c r="D26" i="21"/>
  <c r="E25" i="21"/>
  <c r="D25" i="21"/>
  <c r="E24" i="21"/>
  <c r="D24" i="21"/>
  <c r="E23" i="21"/>
  <c r="D23" i="21"/>
  <c r="E22" i="21"/>
  <c r="D22" i="21"/>
  <c r="E21" i="21"/>
  <c r="D21" i="21"/>
  <c r="E20" i="21"/>
  <c r="D20" i="21"/>
  <c r="E19" i="21"/>
  <c r="D19" i="21"/>
  <c r="E18" i="21"/>
  <c r="D18" i="21"/>
  <c r="E17" i="21"/>
  <c r="D17" i="21"/>
  <c r="E16" i="21"/>
  <c r="D16" i="21"/>
  <c r="E15" i="21"/>
  <c r="D15" i="21"/>
  <c r="E14" i="21"/>
  <c r="D14" i="21"/>
  <c r="E13" i="21"/>
  <c r="D13" i="21"/>
  <c r="E12" i="21"/>
  <c r="D12" i="21"/>
  <c r="E11" i="21"/>
  <c r="D11" i="21"/>
  <c r="E10" i="21"/>
  <c r="D10" i="21"/>
  <c r="E9" i="21"/>
  <c r="D9" i="21"/>
  <c r="E8" i="21"/>
  <c r="D8" i="21"/>
  <c r="E7" i="21"/>
  <c r="D7" i="21"/>
  <c r="E6" i="21"/>
  <c r="D6" i="21"/>
  <c r="E5" i="21"/>
  <c r="D5" i="21"/>
  <c r="E4" i="21"/>
  <c r="D4" i="21"/>
  <c r="E3" i="21"/>
  <c r="D3" i="21"/>
  <c r="E2" i="21"/>
  <c r="D2" i="21"/>
  <c r="H2" i="23" s="1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M61" i="19"/>
  <c r="L61" i="19"/>
  <c r="K61" i="19"/>
  <c r="J61" i="19"/>
  <c r="I61" i="19"/>
  <c r="H61" i="19"/>
  <c r="M60" i="19"/>
  <c r="L60" i="19"/>
  <c r="K60" i="19"/>
  <c r="J60" i="19"/>
  <c r="I60" i="19"/>
  <c r="H60" i="19"/>
  <c r="M59" i="19"/>
  <c r="L59" i="19"/>
  <c r="K59" i="19"/>
  <c r="J59" i="19"/>
  <c r="I59" i="19"/>
  <c r="H59" i="19"/>
  <c r="M58" i="19"/>
  <c r="L58" i="19"/>
  <c r="K58" i="19"/>
  <c r="J58" i="19"/>
  <c r="I58" i="19"/>
  <c r="H58" i="19"/>
  <c r="M57" i="19"/>
  <c r="L57" i="19"/>
  <c r="K57" i="19"/>
  <c r="J57" i="19"/>
  <c r="I57" i="19"/>
  <c r="H57" i="19"/>
  <c r="M56" i="19"/>
  <c r="L56" i="19"/>
  <c r="K56" i="19"/>
  <c r="J56" i="19"/>
  <c r="I56" i="19"/>
  <c r="H56" i="19"/>
  <c r="M55" i="19"/>
  <c r="L55" i="19"/>
  <c r="K55" i="19"/>
  <c r="J55" i="19"/>
  <c r="I55" i="19"/>
  <c r="H55" i="19"/>
  <c r="M54" i="19"/>
  <c r="L54" i="19"/>
  <c r="K54" i="19"/>
  <c r="J54" i="19"/>
  <c r="I54" i="19"/>
  <c r="H54" i="19"/>
  <c r="M53" i="19"/>
  <c r="L53" i="19"/>
  <c r="K53" i="19"/>
  <c r="J53" i="19"/>
  <c r="I53" i="19"/>
  <c r="H53" i="19"/>
  <c r="M52" i="19"/>
  <c r="L52" i="19"/>
  <c r="K52" i="19"/>
  <c r="J52" i="19"/>
  <c r="I52" i="19"/>
  <c r="H52" i="19"/>
  <c r="M51" i="19"/>
  <c r="L51" i="19"/>
  <c r="K51" i="19"/>
  <c r="J51" i="19"/>
  <c r="I51" i="19"/>
  <c r="H51" i="19"/>
  <c r="M50" i="19"/>
  <c r="L50" i="19"/>
  <c r="K50" i="19"/>
  <c r="J50" i="19"/>
  <c r="I50" i="19"/>
  <c r="H50" i="19"/>
  <c r="M49" i="19"/>
  <c r="L49" i="19"/>
  <c r="K49" i="19"/>
  <c r="J49" i="19"/>
  <c r="I49" i="19"/>
  <c r="H49" i="19"/>
  <c r="M48" i="19"/>
  <c r="L48" i="19"/>
  <c r="K48" i="19"/>
  <c r="J48" i="19"/>
  <c r="I48" i="19"/>
  <c r="H48" i="19"/>
  <c r="M47" i="19"/>
  <c r="L47" i="19"/>
  <c r="K47" i="19"/>
  <c r="J47" i="19"/>
  <c r="I47" i="19"/>
  <c r="H47" i="19"/>
  <c r="M46" i="19"/>
  <c r="L46" i="19"/>
  <c r="K46" i="19"/>
  <c r="J46" i="19"/>
  <c r="I46" i="19"/>
  <c r="H46" i="19"/>
  <c r="M45" i="19"/>
  <c r="L45" i="19"/>
  <c r="K45" i="19"/>
  <c r="J45" i="19"/>
  <c r="I45" i="19"/>
  <c r="H45" i="19"/>
  <c r="M44" i="19"/>
  <c r="L44" i="19"/>
  <c r="K44" i="19"/>
  <c r="J44" i="19"/>
  <c r="I44" i="19"/>
  <c r="H44" i="19"/>
  <c r="M43" i="19"/>
  <c r="L43" i="19"/>
  <c r="K43" i="19"/>
  <c r="J43" i="19"/>
  <c r="I43" i="19"/>
  <c r="H43" i="19"/>
  <c r="M42" i="19"/>
  <c r="L42" i="19"/>
  <c r="K42" i="19"/>
  <c r="J42" i="19"/>
  <c r="I42" i="19"/>
  <c r="H42" i="19"/>
  <c r="M41" i="19"/>
  <c r="L41" i="19"/>
  <c r="K41" i="19"/>
  <c r="J41" i="19"/>
  <c r="I41" i="19"/>
  <c r="H41" i="19"/>
  <c r="M40" i="19"/>
  <c r="L40" i="19"/>
  <c r="K40" i="19"/>
  <c r="J40" i="19"/>
  <c r="I40" i="19"/>
  <c r="H40" i="19"/>
  <c r="M39" i="19"/>
  <c r="L39" i="19"/>
  <c r="K39" i="19"/>
  <c r="J39" i="19"/>
  <c r="I39" i="19"/>
  <c r="H39" i="19"/>
  <c r="M38" i="19"/>
  <c r="L38" i="19"/>
  <c r="K38" i="19"/>
  <c r="J38" i="19"/>
  <c r="I38" i="19"/>
  <c r="H38" i="19"/>
  <c r="M37" i="19"/>
  <c r="L37" i="19"/>
  <c r="K37" i="19"/>
  <c r="J37" i="19"/>
  <c r="I37" i="19"/>
  <c r="H37" i="19"/>
  <c r="M36" i="19"/>
  <c r="L36" i="19"/>
  <c r="K36" i="19"/>
  <c r="J36" i="19"/>
  <c r="I36" i="19"/>
  <c r="H36" i="19"/>
  <c r="M35" i="19"/>
  <c r="L35" i="19"/>
  <c r="K35" i="19"/>
  <c r="J35" i="19"/>
  <c r="I35" i="19"/>
  <c r="H35" i="19"/>
  <c r="M34" i="19"/>
  <c r="L34" i="19"/>
  <c r="K34" i="19"/>
  <c r="J34" i="19"/>
  <c r="I34" i="19"/>
  <c r="H34" i="19"/>
  <c r="M33" i="19"/>
  <c r="L33" i="19"/>
  <c r="K33" i="19"/>
  <c r="J33" i="19"/>
  <c r="I33" i="19"/>
  <c r="H33" i="19"/>
  <c r="M32" i="19"/>
  <c r="L32" i="19"/>
  <c r="K32" i="19"/>
  <c r="J32" i="19"/>
  <c r="I32" i="19"/>
  <c r="H32" i="19"/>
  <c r="M31" i="19"/>
  <c r="L31" i="19"/>
  <c r="K31" i="19"/>
  <c r="J31" i="19"/>
  <c r="I31" i="19"/>
  <c r="H31" i="19"/>
  <c r="M30" i="19"/>
  <c r="L30" i="19"/>
  <c r="K30" i="19"/>
  <c r="J30" i="19"/>
  <c r="I30" i="19"/>
  <c r="H30" i="19"/>
  <c r="M29" i="19"/>
  <c r="L29" i="19"/>
  <c r="K29" i="19"/>
  <c r="J29" i="19"/>
  <c r="I29" i="19"/>
  <c r="H29" i="19"/>
  <c r="M28" i="19"/>
  <c r="L28" i="19"/>
  <c r="K28" i="19"/>
  <c r="J28" i="19"/>
  <c r="I28" i="19"/>
  <c r="H28" i="19"/>
  <c r="M27" i="19"/>
  <c r="L27" i="19"/>
  <c r="K27" i="19"/>
  <c r="J27" i="19"/>
  <c r="I27" i="19"/>
  <c r="H27" i="19"/>
  <c r="M26" i="19"/>
  <c r="L26" i="19"/>
  <c r="K26" i="19"/>
  <c r="J26" i="19"/>
  <c r="I26" i="19"/>
  <c r="H26" i="19"/>
  <c r="M25" i="19"/>
  <c r="L25" i="19"/>
  <c r="K25" i="19"/>
  <c r="J25" i="19"/>
  <c r="I25" i="19"/>
  <c r="H25" i="19"/>
  <c r="M24" i="19"/>
  <c r="L24" i="19"/>
  <c r="K24" i="19"/>
  <c r="J24" i="19"/>
  <c r="I24" i="19"/>
  <c r="H24" i="19"/>
  <c r="M23" i="19"/>
  <c r="L23" i="19"/>
  <c r="K23" i="19"/>
  <c r="J23" i="19"/>
  <c r="I23" i="19"/>
  <c r="H23" i="19"/>
  <c r="M22" i="19"/>
  <c r="L22" i="19"/>
  <c r="K22" i="19"/>
  <c r="J22" i="19"/>
  <c r="I22" i="19"/>
  <c r="H22" i="19"/>
  <c r="M21" i="19"/>
  <c r="L21" i="19"/>
  <c r="K21" i="19"/>
  <c r="J21" i="19"/>
  <c r="I21" i="19"/>
  <c r="H21" i="19"/>
  <c r="M20" i="19"/>
  <c r="L20" i="19"/>
  <c r="K20" i="19"/>
  <c r="J20" i="19"/>
  <c r="I20" i="19"/>
  <c r="H20" i="19"/>
  <c r="M19" i="19"/>
  <c r="L19" i="19"/>
  <c r="K19" i="19"/>
  <c r="J19" i="19"/>
  <c r="I19" i="19"/>
  <c r="H19" i="19"/>
  <c r="M18" i="19"/>
  <c r="L18" i="19"/>
  <c r="K18" i="19"/>
  <c r="J18" i="19"/>
  <c r="I18" i="19"/>
  <c r="H18" i="19"/>
  <c r="M17" i="19"/>
  <c r="L17" i="19"/>
  <c r="K17" i="19"/>
  <c r="J17" i="19"/>
  <c r="I17" i="19"/>
  <c r="H17" i="19"/>
  <c r="M16" i="19"/>
  <c r="L16" i="19"/>
  <c r="K16" i="19"/>
  <c r="J16" i="19"/>
  <c r="I16" i="19"/>
  <c r="H16" i="19"/>
  <c r="M15" i="19"/>
  <c r="L15" i="19"/>
  <c r="K15" i="19"/>
  <c r="J15" i="19"/>
  <c r="I15" i="19"/>
  <c r="H15" i="19"/>
  <c r="M14" i="19"/>
  <c r="L14" i="19"/>
  <c r="K14" i="19"/>
  <c r="J14" i="19"/>
  <c r="I14" i="19"/>
  <c r="H14" i="19"/>
  <c r="M13" i="19"/>
  <c r="L13" i="19"/>
  <c r="K13" i="19"/>
  <c r="J13" i="19"/>
  <c r="I13" i="19"/>
  <c r="H13" i="19"/>
  <c r="M12" i="19"/>
  <c r="L12" i="19"/>
  <c r="K12" i="19"/>
  <c r="J12" i="19"/>
  <c r="I12" i="19"/>
  <c r="H12" i="19"/>
  <c r="M11" i="19"/>
  <c r="L11" i="19"/>
  <c r="K11" i="19"/>
  <c r="J11" i="19"/>
  <c r="I11" i="19"/>
  <c r="H11" i="19"/>
  <c r="M10" i="19"/>
  <c r="L10" i="19"/>
  <c r="K10" i="19"/>
  <c r="J10" i="19"/>
  <c r="I10" i="19"/>
  <c r="H10" i="19"/>
  <c r="M9" i="19"/>
  <c r="L9" i="19"/>
  <c r="K9" i="19"/>
  <c r="J9" i="19"/>
  <c r="I9" i="19"/>
  <c r="H9" i="19"/>
  <c r="M8" i="19"/>
  <c r="L8" i="19"/>
  <c r="K8" i="19"/>
  <c r="J8" i="19"/>
  <c r="I8" i="19"/>
  <c r="H8" i="19"/>
  <c r="M7" i="19"/>
  <c r="L7" i="19"/>
  <c r="K7" i="19"/>
  <c r="J7" i="19"/>
  <c r="I7" i="19"/>
  <c r="H7" i="19"/>
  <c r="M6" i="19"/>
  <c r="L6" i="19"/>
  <c r="K6" i="19"/>
  <c r="J6" i="19"/>
  <c r="I6" i="19"/>
  <c r="H6" i="19"/>
  <c r="M5" i="19"/>
  <c r="L5" i="19"/>
  <c r="K5" i="19"/>
  <c r="J5" i="19"/>
  <c r="I5" i="19"/>
  <c r="H5" i="19"/>
  <c r="M4" i="19"/>
  <c r="L4" i="19"/>
  <c r="K4" i="19"/>
  <c r="J4" i="19"/>
  <c r="I4" i="19"/>
  <c r="H4" i="19"/>
  <c r="M3" i="19"/>
  <c r="L3" i="19"/>
  <c r="K3" i="19"/>
  <c r="J3" i="19"/>
  <c r="I3" i="19"/>
  <c r="H3" i="19"/>
  <c r="M2" i="19"/>
  <c r="L2" i="19"/>
  <c r="K2" i="19"/>
  <c r="J2" i="19"/>
  <c r="I2" i="19"/>
  <c r="H2" i="19"/>
  <c r="O61" i="18"/>
  <c r="N61" i="18"/>
  <c r="M61" i="18"/>
  <c r="L61" i="18"/>
  <c r="K61" i="18"/>
  <c r="J61" i="18"/>
  <c r="I61" i="18"/>
  <c r="O60" i="18"/>
  <c r="N60" i="18"/>
  <c r="M60" i="18"/>
  <c r="L60" i="18"/>
  <c r="K60" i="18"/>
  <c r="J60" i="18"/>
  <c r="I60" i="18"/>
  <c r="O59" i="18"/>
  <c r="N59" i="18"/>
  <c r="M59" i="18"/>
  <c r="L59" i="18"/>
  <c r="K59" i="18"/>
  <c r="J59" i="18"/>
  <c r="I59" i="18"/>
  <c r="O58" i="18"/>
  <c r="N58" i="18"/>
  <c r="M58" i="18"/>
  <c r="L58" i="18"/>
  <c r="K58" i="18"/>
  <c r="J58" i="18"/>
  <c r="I58" i="18"/>
  <c r="O57" i="18"/>
  <c r="N57" i="18"/>
  <c r="M57" i="18"/>
  <c r="L57" i="18"/>
  <c r="K57" i="18"/>
  <c r="J57" i="18"/>
  <c r="I57" i="18"/>
  <c r="O56" i="18"/>
  <c r="N56" i="18"/>
  <c r="M56" i="18"/>
  <c r="L56" i="18"/>
  <c r="K56" i="18"/>
  <c r="J56" i="18"/>
  <c r="I56" i="18"/>
  <c r="O55" i="18"/>
  <c r="N55" i="18"/>
  <c r="M55" i="18"/>
  <c r="L55" i="18"/>
  <c r="K55" i="18"/>
  <c r="J55" i="18"/>
  <c r="I55" i="18"/>
  <c r="O54" i="18"/>
  <c r="N54" i="18"/>
  <c r="M54" i="18"/>
  <c r="L54" i="18"/>
  <c r="K54" i="18"/>
  <c r="J54" i="18"/>
  <c r="I54" i="18"/>
  <c r="O53" i="18"/>
  <c r="N53" i="18"/>
  <c r="M53" i="18"/>
  <c r="L53" i="18"/>
  <c r="K53" i="18"/>
  <c r="J53" i="18"/>
  <c r="I53" i="18"/>
  <c r="O52" i="18"/>
  <c r="N52" i="18"/>
  <c r="M52" i="18"/>
  <c r="L52" i="18"/>
  <c r="K52" i="18"/>
  <c r="J52" i="18"/>
  <c r="I52" i="18"/>
  <c r="O51" i="18"/>
  <c r="N51" i="18"/>
  <c r="M51" i="18"/>
  <c r="L51" i="18"/>
  <c r="K51" i="18"/>
  <c r="J51" i="18"/>
  <c r="I51" i="18"/>
  <c r="O50" i="18"/>
  <c r="N50" i="18"/>
  <c r="M50" i="18"/>
  <c r="L50" i="18"/>
  <c r="K50" i="18"/>
  <c r="J50" i="18"/>
  <c r="I50" i="18"/>
  <c r="O49" i="18"/>
  <c r="N49" i="18"/>
  <c r="M49" i="18"/>
  <c r="L49" i="18"/>
  <c r="K49" i="18"/>
  <c r="J49" i="18"/>
  <c r="I49" i="18"/>
  <c r="O48" i="18"/>
  <c r="N48" i="18"/>
  <c r="M48" i="18"/>
  <c r="L48" i="18"/>
  <c r="K48" i="18"/>
  <c r="J48" i="18"/>
  <c r="I48" i="18"/>
  <c r="O47" i="18"/>
  <c r="N47" i="18"/>
  <c r="M47" i="18"/>
  <c r="L47" i="18"/>
  <c r="K47" i="18"/>
  <c r="J47" i="18"/>
  <c r="I47" i="18"/>
  <c r="O46" i="18"/>
  <c r="N46" i="18"/>
  <c r="M46" i="18"/>
  <c r="L46" i="18"/>
  <c r="K46" i="18"/>
  <c r="J46" i="18"/>
  <c r="I46" i="18"/>
  <c r="O45" i="18"/>
  <c r="N45" i="18"/>
  <c r="M45" i="18"/>
  <c r="L45" i="18"/>
  <c r="K45" i="18"/>
  <c r="J45" i="18"/>
  <c r="I45" i="18"/>
  <c r="O44" i="18"/>
  <c r="N44" i="18"/>
  <c r="M44" i="18"/>
  <c r="L44" i="18"/>
  <c r="K44" i="18"/>
  <c r="J44" i="18"/>
  <c r="I44" i="18"/>
  <c r="O43" i="18"/>
  <c r="N43" i="18"/>
  <c r="M43" i="18"/>
  <c r="L43" i="18"/>
  <c r="K43" i="18"/>
  <c r="J43" i="18"/>
  <c r="I43" i="18"/>
  <c r="O42" i="18"/>
  <c r="N42" i="18"/>
  <c r="M42" i="18"/>
  <c r="L42" i="18"/>
  <c r="K42" i="18"/>
  <c r="J42" i="18"/>
  <c r="I42" i="18"/>
  <c r="O41" i="18"/>
  <c r="N41" i="18"/>
  <c r="M41" i="18"/>
  <c r="L41" i="18"/>
  <c r="K41" i="18"/>
  <c r="J41" i="18"/>
  <c r="I41" i="18"/>
  <c r="O40" i="18"/>
  <c r="N40" i="18"/>
  <c r="M40" i="18"/>
  <c r="L40" i="18"/>
  <c r="K40" i="18"/>
  <c r="J40" i="18"/>
  <c r="I40" i="18"/>
  <c r="O39" i="18"/>
  <c r="N39" i="18"/>
  <c r="M39" i="18"/>
  <c r="L39" i="18"/>
  <c r="K39" i="18"/>
  <c r="J39" i="18"/>
  <c r="I39" i="18"/>
  <c r="O38" i="18"/>
  <c r="N38" i="18"/>
  <c r="M38" i="18"/>
  <c r="L38" i="18"/>
  <c r="K38" i="18"/>
  <c r="J38" i="18"/>
  <c r="I38" i="18"/>
  <c r="O37" i="18"/>
  <c r="N37" i="18"/>
  <c r="M37" i="18"/>
  <c r="L37" i="18"/>
  <c r="K37" i="18"/>
  <c r="J37" i="18"/>
  <c r="I37" i="18"/>
  <c r="O36" i="18"/>
  <c r="N36" i="18"/>
  <c r="M36" i="18"/>
  <c r="L36" i="18"/>
  <c r="K36" i="18"/>
  <c r="J36" i="18"/>
  <c r="I36" i="18"/>
  <c r="O35" i="18"/>
  <c r="N35" i="18"/>
  <c r="M35" i="18"/>
  <c r="L35" i="18"/>
  <c r="K35" i="18"/>
  <c r="J35" i="18"/>
  <c r="I35" i="18"/>
  <c r="O34" i="18"/>
  <c r="N34" i="18"/>
  <c r="M34" i="18"/>
  <c r="L34" i="18"/>
  <c r="K34" i="18"/>
  <c r="J34" i="18"/>
  <c r="I34" i="18"/>
  <c r="O33" i="18"/>
  <c r="N33" i="18"/>
  <c r="M33" i="18"/>
  <c r="L33" i="18"/>
  <c r="K33" i="18"/>
  <c r="J33" i="18"/>
  <c r="I33" i="18"/>
  <c r="O32" i="18"/>
  <c r="N32" i="18"/>
  <c r="M32" i="18"/>
  <c r="L32" i="18"/>
  <c r="K32" i="18"/>
  <c r="J32" i="18"/>
  <c r="I32" i="18"/>
  <c r="O31" i="18"/>
  <c r="N31" i="18"/>
  <c r="M31" i="18"/>
  <c r="L31" i="18"/>
  <c r="K31" i="18"/>
  <c r="J31" i="18"/>
  <c r="I31" i="18"/>
  <c r="O30" i="18"/>
  <c r="N30" i="18"/>
  <c r="M30" i="18"/>
  <c r="L30" i="18"/>
  <c r="K30" i="18"/>
  <c r="J30" i="18"/>
  <c r="I30" i="18"/>
  <c r="O29" i="18"/>
  <c r="N29" i="18"/>
  <c r="M29" i="18"/>
  <c r="L29" i="18"/>
  <c r="K29" i="18"/>
  <c r="J29" i="18"/>
  <c r="I29" i="18"/>
  <c r="O28" i="18"/>
  <c r="N28" i="18"/>
  <c r="M28" i="18"/>
  <c r="L28" i="18"/>
  <c r="K28" i="18"/>
  <c r="J28" i="18"/>
  <c r="I28" i="18"/>
  <c r="O27" i="18"/>
  <c r="N27" i="18"/>
  <c r="M27" i="18"/>
  <c r="L27" i="18"/>
  <c r="K27" i="18"/>
  <c r="J27" i="18"/>
  <c r="I27" i="18"/>
  <c r="O26" i="18"/>
  <c r="N26" i="18"/>
  <c r="M26" i="18"/>
  <c r="L26" i="18"/>
  <c r="K26" i="18"/>
  <c r="J26" i="18"/>
  <c r="I26" i="18"/>
  <c r="O25" i="18"/>
  <c r="N25" i="18"/>
  <c r="M25" i="18"/>
  <c r="L25" i="18"/>
  <c r="K25" i="18"/>
  <c r="J25" i="18"/>
  <c r="I25" i="18"/>
  <c r="O24" i="18"/>
  <c r="N24" i="18"/>
  <c r="M24" i="18"/>
  <c r="L24" i="18"/>
  <c r="K24" i="18"/>
  <c r="J24" i="18"/>
  <c r="I24" i="18"/>
  <c r="O23" i="18"/>
  <c r="N23" i="18"/>
  <c r="M23" i="18"/>
  <c r="L23" i="18"/>
  <c r="K23" i="18"/>
  <c r="J23" i="18"/>
  <c r="I23" i="18"/>
  <c r="O22" i="18"/>
  <c r="N22" i="18"/>
  <c r="M22" i="18"/>
  <c r="L22" i="18"/>
  <c r="K22" i="18"/>
  <c r="J22" i="18"/>
  <c r="I22" i="18"/>
  <c r="O21" i="18"/>
  <c r="N21" i="18"/>
  <c r="M21" i="18"/>
  <c r="L21" i="18"/>
  <c r="K21" i="18"/>
  <c r="J21" i="18"/>
  <c r="I21" i="18"/>
  <c r="O20" i="18"/>
  <c r="N20" i="18"/>
  <c r="M20" i="18"/>
  <c r="L20" i="18"/>
  <c r="K20" i="18"/>
  <c r="J20" i="18"/>
  <c r="I20" i="18"/>
  <c r="O19" i="18"/>
  <c r="N19" i="18"/>
  <c r="M19" i="18"/>
  <c r="L19" i="18"/>
  <c r="K19" i="18"/>
  <c r="J19" i="18"/>
  <c r="I19" i="18"/>
  <c r="O18" i="18"/>
  <c r="N18" i="18"/>
  <c r="M18" i="18"/>
  <c r="L18" i="18"/>
  <c r="K18" i="18"/>
  <c r="J18" i="18"/>
  <c r="I18" i="18"/>
  <c r="O17" i="18"/>
  <c r="N17" i="18"/>
  <c r="M17" i="18"/>
  <c r="L17" i="18"/>
  <c r="K17" i="18"/>
  <c r="J17" i="18"/>
  <c r="I17" i="18"/>
  <c r="O16" i="18"/>
  <c r="N16" i="18"/>
  <c r="M16" i="18"/>
  <c r="L16" i="18"/>
  <c r="K16" i="18"/>
  <c r="J16" i="18"/>
  <c r="I16" i="18"/>
  <c r="O15" i="18"/>
  <c r="N15" i="18"/>
  <c r="M15" i="18"/>
  <c r="L15" i="18"/>
  <c r="K15" i="18"/>
  <c r="J15" i="18"/>
  <c r="I15" i="18"/>
  <c r="O14" i="18"/>
  <c r="N14" i="18"/>
  <c r="M14" i="18"/>
  <c r="L14" i="18"/>
  <c r="K14" i="18"/>
  <c r="J14" i="18"/>
  <c r="I14" i="18"/>
  <c r="O13" i="18"/>
  <c r="N13" i="18"/>
  <c r="M13" i="18"/>
  <c r="L13" i="18"/>
  <c r="K13" i="18"/>
  <c r="J13" i="18"/>
  <c r="I13" i="18"/>
  <c r="O12" i="18"/>
  <c r="N12" i="18"/>
  <c r="M12" i="18"/>
  <c r="L12" i="18"/>
  <c r="K12" i="18"/>
  <c r="J12" i="18"/>
  <c r="I12" i="18"/>
  <c r="O11" i="18"/>
  <c r="N11" i="18"/>
  <c r="M11" i="18"/>
  <c r="L11" i="18"/>
  <c r="K11" i="18"/>
  <c r="J11" i="18"/>
  <c r="I11" i="18"/>
  <c r="O10" i="18"/>
  <c r="N10" i="18"/>
  <c r="M10" i="18"/>
  <c r="L10" i="18"/>
  <c r="K10" i="18"/>
  <c r="J10" i="18"/>
  <c r="I10" i="18"/>
  <c r="O9" i="18"/>
  <c r="N9" i="18"/>
  <c r="M9" i="18"/>
  <c r="L9" i="18"/>
  <c r="K9" i="18"/>
  <c r="J9" i="18"/>
  <c r="I9" i="18"/>
  <c r="O8" i="18"/>
  <c r="N8" i="18"/>
  <c r="M8" i="18"/>
  <c r="L8" i="18"/>
  <c r="K8" i="18"/>
  <c r="J8" i="18"/>
  <c r="I8" i="18"/>
  <c r="O7" i="18"/>
  <c r="N7" i="18"/>
  <c r="M7" i="18"/>
  <c r="L7" i="18"/>
  <c r="K7" i="18"/>
  <c r="J7" i="18"/>
  <c r="I7" i="18"/>
  <c r="O6" i="18"/>
  <c r="N6" i="18"/>
  <c r="M6" i="18"/>
  <c r="L6" i="18"/>
  <c r="K6" i="18"/>
  <c r="J6" i="18"/>
  <c r="I6" i="18"/>
  <c r="O5" i="18"/>
  <c r="N5" i="18"/>
  <c r="M5" i="18"/>
  <c r="L5" i="18"/>
  <c r="K5" i="18"/>
  <c r="J5" i="18"/>
  <c r="I5" i="18"/>
  <c r="O4" i="18"/>
  <c r="N4" i="18"/>
  <c r="M4" i="18"/>
  <c r="L4" i="18"/>
  <c r="K4" i="18"/>
  <c r="J4" i="18"/>
  <c r="I4" i="18"/>
  <c r="O3" i="18"/>
  <c r="N3" i="18"/>
  <c r="M3" i="18"/>
  <c r="L3" i="18"/>
  <c r="K3" i="18"/>
  <c r="J3" i="18"/>
  <c r="I3" i="18"/>
  <c r="O2" i="18"/>
  <c r="N2" i="18"/>
  <c r="M2" i="18"/>
  <c r="L2" i="18"/>
  <c r="K2" i="18"/>
  <c r="J2" i="18"/>
  <c r="I2" i="18"/>
  <c r="O61" i="17"/>
  <c r="N61" i="17"/>
  <c r="M61" i="17"/>
  <c r="L61" i="17"/>
  <c r="K61" i="17"/>
  <c r="J61" i="17"/>
  <c r="I61" i="17"/>
  <c r="O60" i="17"/>
  <c r="N60" i="17"/>
  <c r="M60" i="17"/>
  <c r="L60" i="17"/>
  <c r="K60" i="17"/>
  <c r="J60" i="17"/>
  <c r="I60" i="17"/>
  <c r="O59" i="17"/>
  <c r="N59" i="17"/>
  <c r="M59" i="17"/>
  <c r="L59" i="17"/>
  <c r="K59" i="17"/>
  <c r="J59" i="17"/>
  <c r="I59" i="17"/>
  <c r="O58" i="17"/>
  <c r="N58" i="17"/>
  <c r="M58" i="17"/>
  <c r="L58" i="17"/>
  <c r="K58" i="17"/>
  <c r="J58" i="17"/>
  <c r="I58" i="17"/>
  <c r="O57" i="17"/>
  <c r="N57" i="17"/>
  <c r="M57" i="17"/>
  <c r="L57" i="17"/>
  <c r="K57" i="17"/>
  <c r="J57" i="17"/>
  <c r="I57" i="17"/>
  <c r="O56" i="17"/>
  <c r="N56" i="17"/>
  <c r="M56" i="17"/>
  <c r="L56" i="17"/>
  <c r="K56" i="17"/>
  <c r="J56" i="17"/>
  <c r="I56" i="17"/>
  <c r="O55" i="17"/>
  <c r="N55" i="17"/>
  <c r="M55" i="17"/>
  <c r="L55" i="17"/>
  <c r="K55" i="17"/>
  <c r="J55" i="17"/>
  <c r="I55" i="17"/>
  <c r="O54" i="17"/>
  <c r="N54" i="17"/>
  <c r="M54" i="17"/>
  <c r="L54" i="17"/>
  <c r="K54" i="17"/>
  <c r="J54" i="17"/>
  <c r="I54" i="17"/>
  <c r="O53" i="17"/>
  <c r="N53" i="17"/>
  <c r="M53" i="17"/>
  <c r="L53" i="17"/>
  <c r="K53" i="17"/>
  <c r="J53" i="17"/>
  <c r="I53" i="17"/>
  <c r="O52" i="17"/>
  <c r="N52" i="17"/>
  <c r="M52" i="17"/>
  <c r="L52" i="17"/>
  <c r="K52" i="17"/>
  <c r="J52" i="17"/>
  <c r="I52" i="17"/>
  <c r="O51" i="17"/>
  <c r="N51" i="17"/>
  <c r="M51" i="17"/>
  <c r="L51" i="17"/>
  <c r="K51" i="17"/>
  <c r="J51" i="17"/>
  <c r="I51" i="17"/>
  <c r="O50" i="17"/>
  <c r="N50" i="17"/>
  <c r="M50" i="17"/>
  <c r="L50" i="17"/>
  <c r="K50" i="17"/>
  <c r="J50" i="17"/>
  <c r="I50" i="17"/>
  <c r="O49" i="17"/>
  <c r="N49" i="17"/>
  <c r="M49" i="17"/>
  <c r="L49" i="17"/>
  <c r="K49" i="17"/>
  <c r="J49" i="17"/>
  <c r="I49" i="17"/>
  <c r="O48" i="17"/>
  <c r="N48" i="17"/>
  <c r="M48" i="17"/>
  <c r="L48" i="17"/>
  <c r="K48" i="17"/>
  <c r="J48" i="17"/>
  <c r="I48" i="17"/>
  <c r="O47" i="17"/>
  <c r="N47" i="17"/>
  <c r="M47" i="17"/>
  <c r="L47" i="17"/>
  <c r="K47" i="17"/>
  <c r="J47" i="17"/>
  <c r="I47" i="17"/>
  <c r="O46" i="17"/>
  <c r="N46" i="17"/>
  <c r="M46" i="17"/>
  <c r="L46" i="17"/>
  <c r="K46" i="17"/>
  <c r="J46" i="17"/>
  <c r="I46" i="17"/>
  <c r="O45" i="17"/>
  <c r="N45" i="17"/>
  <c r="M45" i="17"/>
  <c r="L45" i="17"/>
  <c r="K45" i="17"/>
  <c r="J45" i="17"/>
  <c r="I45" i="17"/>
  <c r="O44" i="17"/>
  <c r="N44" i="17"/>
  <c r="M44" i="17"/>
  <c r="L44" i="17"/>
  <c r="K44" i="17"/>
  <c r="J44" i="17"/>
  <c r="I44" i="17"/>
  <c r="O43" i="17"/>
  <c r="N43" i="17"/>
  <c r="M43" i="17"/>
  <c r="L43" i="17"/>
  <c r="K43" i="17"/>
  <c r="J43" i="17"/>
  <c r="I43" i="17"/>
  <c r="O42" i="17"/>
  <c r="N42" i="17"/>
  <c r="M42" i="17"/>
  <c r="L42" i="17"/>
  <c r="K42" i="17"/>
  <c r="J42" i="17"/>
  <c r="I42" i="17"/>
  <c r="O41" i="17"/>
  <c r="N41" i="17"/>
  <c r="M41" i="17"/>
  <c r="L41" i="17"/>
  <c r="K41" i="17"/>
  <c r="J41" i="17"/>
  <c r="I41" i="17"/>
  <c r="O40" i="17"/>
  <c r="N40" i="17"/>
  <c r="M40" i="17"/>
  <c r="L40" i="17"/>
  <c r="K40" i="17"/>
  <c r="J40" i="17"/>
  <c r="I40" i="17"/>
  <c r="O39" i="17"/>
  <c r="N39" i="17"/>
  <c r="M39" i="17"/>
  <c r="L39" i="17"/>
  <c r="K39" i="17"/>
  <c r="J39" i="17"/>
  <c r="I39" i="17"/>
  <c r="O38" i="17"/>
  <c r="N38" i="17"/>
  <c r="M38" i="17"/>
  <c r="L38" i="17"/>
  <c r="K38" i="17"/>
  <c r="J38" i="17"/>
  <c r="I38" i="17"/>
  <c r="O37" i="17"/>
  <c r="N37" i="17"/>
  <c r="M37" i="17"/>
  <c r="L37" i="17"/>
  <c r="K37" i="17"/>
  <c r="J37" i="17"/>
  <c r="I37" i="17"/>
  <c r="O36" i="17"/>
  <c r="N36" i="17"/>
  <c r="M36" i="17"/>
  <c r="L36" i="17"/>
  <c r="K36" i="17"/>
  <c r="J36" i="17"/>
  <c r="I36" i="17"/>
  <c r="O35" i="17"/>
  <c r="N35" i="17"/>
  <c r="M35" i="17"/>
  <c r="L35" i="17"/>
  <c r="K35" i="17"/>
  <c r="J35" i="17"/>
  <c r="I35" i="17"/>
  <c r="O34" i="17"/>
  <c r="N34" i="17"/>
  <c r="M34" i="17"/>
  <c r="L34" i="17"/>
  <c r="K34" i="17"/>
  <c r="J34" i="17"/>
  <c r="I34" i="17"/>
  <c r="O33" i="17"/>
  <c r="N33" i="17"/>
  <c r="M33" i="17"/>
  <c r="L33" i="17"/>
  <c r="K33" i="17"/>
  <c r="J33" i="17"/>
  <c r="I33" i="17"/>
  <c r="O32" i="17"/>
  <c r="N32" i="17"/>
  <c r="M32" i="17"/>
  <c r="L32" i="17"/>
  <c r="K32" i="17"/>
  <c r="J32" i="17"/>
  <c r="I32" i="17"/>
  <c r="O31" i="17"/>
  <c r="N31" i="17"/>
  <c r="M31" i="17"/>
  <c r="L31" i="17"/>
  <c r="K31" i="17"/>
  <c r="J31" i="17"/>
  <c r="I31" i="17"/>
  <c r="O30" i="17"/>
  <c r="N30" i="17"/>
  <c r="M30" i="17"/>
  <c r="L30" i="17"/>
  <c r="K30" i="17"/>
  <c r="J30" i="17"/>
  <c r="I30" i="17"/>
  <c r="O29" i="17"/>
  <c r="N29" i="17"/>
  <c r="M29" i="17"/>
  <c r="L29" i="17"/>
  <c r="K29" i="17"/>
  <c r="J29" i="17"/>
  <c r="I29" i="17"/>
  <c r="O28" i="17"/>
  <c r="N28" i="17"/>
  <c r="M28" i="17"/>
  <c r="L28" i="17"/>
  <c r="K28" i="17"/>
  <c r="J28" i="17"/>
  <c r="I28" i="17"/>
  <c r="O27" i="17"/>
  <c r="N27" i="17"/>
  <c r="M27" i="17"/>
  <c r="L27" i="17"/>
  <c r="K27" i="17"/>
  <c r="J27" i="17"/>
  <c r="I27" i="17"/>
  <c r="O26" i="17"/>
  <c r="N26" i="17"/>
  <c r="M26" i="17"/>
  <c r="L26" i="17"/>
  <c r="K26" i="17"/>
  <c r="J26" i="17"/>
  <c r="I26" i="17"/>
  <c r="O25" i="17"/>
  <c r="N25" i="17"/>
  <c r="M25" i="17"/>
  <c r="L25" i="17"/>
  <c r="K25" i="17"/>
  <c r="J25" i="17"/>
  <c r="I25" i="17"/>
  <c r="O24" i="17"/>
  <c r="N24" i="17"/>
  <c r="M24" i="17"/>
  <c r="L24" i="17"/>
  <c r="K24" i="17"/>
  <c r="J24" i="17"/>
  <c r="I24" i="17"/>
  <c r="O23" i="17"/>
  <c r="N23" i="17"/>
  <c r="M23" i="17"/>
  <c r="L23" i="17"/>
  <c r="K23" i="17"/>
  <c r="J23" i="17"/>
  <c r="I23" i="17"/>
  <c r="O22" i="17"/>
  <c r="N22" i="17"/>
  <c r="M22" i="17"/>
  <c r="L22" i="17"/>
  <c r="K22" i="17"/>
  <c r="J22" i="17"/>
  <c r="I22" i="17"/>
  <c r="O21" i="17"/>
  <c r="N21" i="17"/>
  <c r="M21" i="17"/>
  <c r="L21" i="17"/>
  <c r="K21" i="17"/>
  <c r="J21" i="17"/>
  <c r="I21" i="17"/>
  <c r="O20" i="17"/>
  <c r="N20" i="17"/>
  <c r="M20" i="17"/>
  <c r="L20" i="17"/>
  <c r="K20" i="17"/>
  <c r="J20" i="17"/>
  <c r="I20" i="17"/>
  <c r="O19" i="17"/>
  <c r="N19" i="17"/>
  <c r="M19" i="17"/>
  <c r="L19" i="17"/>
  <c r="K19" i="17"/>
  <c r="J19" i="17"/>
  <c r="I19" i="17"/>
  <c r="O18" i="17"/>
  <c r="N18" i="17"/>
  <c r="M18" i="17"/>
  <c r="L18" i="17"/>
  <c r="K18" i="17"/>
  <c r="J18" i="17"/>
  <c r="I18" i="17"/>
  <c r="O17" i="17"/>
  <c r="N17" i="17"/>
  <c r="M17" i="17"/>
  <c r="L17" i="17"/>
  <c r="K17" i="17"/>
  <c r="J17" i="17"/>
  <c r="I17" i="17"/>
  <c r="O16" i="17"/>
  <c r="N16" i="17"/>
  <c r="M16" i="17"/>
  <c r="L16" i="17"/>
  <c r="K16" i="17"/>
  <c r="J16" i="17"/>
  <c r="I16" i="17"/>
  <c r="O15" i="17"/>
  <c r="N15" i="17"/>
  <c r="M15" i="17"/>
  <c r="L15" i="17"/>
  <c r="K15" i="17"/>
  <c r="J15" i="17"/>
  <c r="I15" i="17"/>
  <c r="O14" i="17"/>
  <c r="N14" i="17"/>
  <c r="M14" i="17"/>
  <c r="L14" i="17"/>
  <c r="K14" i="17"/>
  <c r="J14" i="17"/>
  <c r="I14" i="17"/>
  <c r="O13" i="17"/>
  <c r="N13" i="17"/>
  <c r="M13" i="17"/>
  <c r="L13" i="17"/>
  <c r="K13" i="17"/>
  <c r="J13" i="17"/>
  <c r="I13" i="17"/>
  <c r="O12" i="17"/>
  <c r="N12" i="17"/>
  <c r="M12" i="17"/>
  <c r="L12" i="17"/>
  <c r="K12" i="17"/>
  <c r="J12" i="17"/>
  <c r="I12" i="17"/>
  <c r="O11" i="17"/>
  <c r="N11" i="17"/>
  <c r="M11" i="17"/>
  <c r="L11" i="17"/>
  <c r="K11" i="17"/>
  <c r="J11" i="17"/>
  <c r="I11" i="17"/>
  <c r="O10" i="17"/>
  <c r="N10" i="17"/>
  <c r="M10" i="17"/>
  <c r="L10" i="17"/>
  <c r="K10" i="17"/>
  <c r="J10" i="17"/>
  <c r="I10" i="17"/>
  <c r="O9" i="17"/>
  <c r="N9" i="17"/>
  <c r="M9" i="17"/>
  <c r="L9" i="17"/>
  <c r="K9" i="17"/>
  <c r="J9" i="17"/>
  <c r="I9" i="17"/>
  <c r="O8" i="17"/>
  <c r="N8" i="17"/>
  <c r="M8" i="17"/>
  <c r="L8" i="17"/>
  <c r="K8" i="17"/>
  <c r="J8" i="17"/>
  <c r="I8" i="17"/>
  <c r="O7" i="17"/>
  <c r="N7" i="17"/>
  <c r="M7" i="17"/>
  <c r="L7" i="17"/>
  <c r="K7" i="17"/>
  <c r="J7" i="17"/>
  <c r="I7" i="17"/>
  <c r="O6" i="17"/>
  <c r="N6" i="17"/>
  <c r="M6" i="17"/>
  <c r="L6" i="17"/>
  <c r="K6" i="17"/>
  <c r="J6" i="17"/>
  <c r="I6" i="17"/>
  <c r="O5" i="17"/>
  <c r="N5" i="17"/>
  <c r="M5" i="17"/>
  <c r="L5" i="17"/>
  <c r="K5" i="17"/>
  <c r="J5" i="17"/>
  <c r="I5" i="17"/>
  <c r="O4" i="17"/>
  <c r="N4" i="17"/>
  <c r="M4" i="17"/>
  <c r="L4" i="17"/>
  <c r="K4" i="17"/>
  <c r="J4" i="17"/>
  <c r="I4" i="17"/>
  <c r="O3" i="17"/>
  <c r="N3" i="17"/>
  <c r="M3" i="17"/>
  <c r="L3" i="17"/>
  <c r="K3" i="17"/>
  <c r="J3" i="17"/>
  <c r="I3" i="17"/>
  <c r="O2" i="17"/>
  <c r="N2" i="17"/>
  <c r="M2" i="17"/>
  <c r="L2" i="17"/>
  <c r="K2" i="17"/>
  <c r="J2" i="17"/>
  <c r="I2" i="17"/>
  <c r="K61" i="16"/>
  <c r="J61" i="16"/>
  <c r="I61" i="16"/>
  <c r="H61" i="16"/>
  <c r="G61" i="16"/>
  <c r="K60" i="16"/>
  <c r="J60" i="16"/>
  <c r="I60" i="16"/>
  <c r="H60" i="16"/>
  <c r="G60" i="16"/>
  <c r="K59" i="16"/>
  <c r="J59" i="16"/>
  <c r="I59" i="16"/>
  <c r="H59" i="16"/>
  <c r="G59" i="16"/>
  <c r="K58" i="16"/>
  <c r="J58" i="16"/>
  <c r="I58" i="16"/>
  <c r="H58" i="16"/>
  <c r="G58" i="16"/>
  <c r="K57" i="16"/>
  <c r="J57" i="16"/>
  <c r="I57" i="16"/>
  <c r="H57" i="16"/>
  <c r="G57" i="16"/>
  <c r="K56" i="16"/>
  <c r="J56" i="16"/>
  <c r="I56" i="16"/>
  <c r="H56" i="16"/>
  <c r="G56" i="16"/>
  <c r="K55" i="16"/>
  <c r="J55" i="16"/>
  <c r="I55" i="16"/>
  <c r="H55" i="16"/>
  <c r="G55" i="16"/>
  <c r="K54" i="16"/>
  <c r="J54" i="16"/>
  <c r="I54" i="16"/>
  <c r="H54" i="16"/>
  <c r="G54" i="16"/>
  <c r="K53" i="16"/>
  <c r="J53" i="16"/>
  <c r="I53" i="16"/>
  <c r="H53" i="16"/>
  <c r="G53" i="16"/>
  <c r="K52" i="16"/>
  <c r="J52" i="16"/>
  <c r="I52" i="16"/>
  <c r="H52" i="16"/>
  <c r="G52" i="16"/>
  <c r="K51" i="16"/>
  <c r="J51" i="16"/>
  <c r="I51" i="16"/>
  <c r="H51" i="16"/>
  <c r="G51" i="16"/>
  <c r="K50" i="16"/>
  <c r="J50" i="16"/>
  <c r="I50" i="16"/>
  <c r="H50" i="16"/>
  <c r="G50" i="16"/>
  <c r="K49" i="16"/>
  <c r="J49" i="16"/>
  <c r="I49" i="16"/>
  <c r="H49" i="16"/>
  <c r="G49" i="16"/>
  <c r="K48" i="16"/>
  <c r="J48" i="16"/>
  <c r="I48" i="16"/>
  <c r="H48" i="16"/>
  <c r="G48" i="16"/>
  <c r="K47" i="16"/>
  <c r="J47" i="16"/>
  <c r="I47" i="16"/>
  <c r="H47" i="16"/>
  <c r="G47" i="16"/>
  <c r="K46" i="16"/>
  <c r="J46" i="16"/>
  <c r="I46" i="16"/>
  <c r="H46" i="16"/>
  <c r="G46" i="16"/>
  <c r="K45" i="16"/>
  <c r="J45" i="16"/>
  <c r="I45" i="16"/>
  <c r="H45" i="16"/>
  <c r="G45" i="16"/>
  <c r="K44" i="16"/>
  <c r="J44" i="16"/>
  <c r="I44" i="16"/>
  <c r="H44" i="16"/>
  <c r="G44" i="16"/>
  <c r="K43" i="16"/>
  <c r="J43" i="16"/>
  <c r="I43" i="16"/>
  <c r="H43" i="16"/>
  <c r="G43" i="16"/>
  <c r="K42" i="16"/>
  <c r="J42" i="16"/>
  <c r="I42" i="16"/>
  <c r="H42" i="16"/>
  <c r="G42" i="16"/>
  <c r="K41" i="16"/>
  <c r="J41" i="16"/>
  <c r="I41" i="16"/>
  <c r="H41" i="16"/>
  <c r="G41" i="16"/>
  <c r="K40" i="16"/>
  <c r="J40" i="16"/>
  <c r="I40" i="16"/>
  <c r="H40" i="16"/>
  <c r="G40" i="16"/>
  <c r="K39" i="16"/>
  <c r="J39" i="16"/>
  <c r="I39" i="16"/>
  <c r="H39" i="16"/>
  <c r="G39" i="16"/>
  <c r="K38" i="16"/>
  <c r="J38" i="16"/>
  <c r="I38" i="16"/>
  <c r="H38" i="16"/>
  <c r="G38" i="16"/>
  <c r="K37" i="16"/>
  <c r="J37" i="16"/>
  <c r="I37" i="16"/>
  <c r="H37" i="16"/>
  <c r="G37" i="16"/>
  <c r="K36" i="16"/>
  <c r="J36" i="16"/>
  <c r="I36" i="16"/>
  <c r="H36" i="16"/>
  <c r="G36" i="16"/>
  <c r="K35" i="16"/>
  <c r="J35" i="16"/>
  <c r="I35" i="16"/>
  <c r="H35" i="16"/>
  <c r="G35" i="16"/>
  <c r="K34" i="16"/>
  <c r="J34" i="16"/>
  <c r="I34" i="16"/>
  <c r="H34" i="16"/>
  <c r="G34" i="16"/>
  <c r="K33" i="16"/>
  <c r="J33" i="16"/>
  <c r="I33" i="16"/>
  <c r="H33" i="16"/>
  <c r="G33" i="16"/>
  <c r="K32" i="16"/>
  <c r="J32" i="16"/>
  <c r="I32" i="16"/>
  <c r="H32" i="16"/>
  <c r="G32" i="16"/>
  <c r="K31" i="16"/>
  <c r="J31" i="16"/>
  <c r="I31" i="16"/>
  <c r="H31" i="16"/>
  <c r="G31" i="16"/>
  <c r="K30" i="16"/>
  <c r="J30" i="16"/>
  <c r="I30" i="16"/>
  <c r="H30" i="16"/>
  <c r="G30" i="16"/>
  <c r="K29" i="16"/>
  <c r="J29" i="16"/>
  <c r="I29" i="16"/>
  <c r="H29" i="16"/>
  <c r="G29" i="16"/>
  <c r="K28" i="16"/>
  <c r="J28" i="16"/>
  <c r="I28" i="16"/>
  <c r="H28" i="16"/>
  <c r="G28" i="16"/>
  <c r="K27" i="16"/>
  <c r="J27" i="16"/>
  <c r="I27" i="16"/>
  <c r="H27" i="16"/>
  <c r="G27" i="16"/>
  <c r="K26" i="16"/>
  <c r="J26" i="16"/>
  <c r="I26" i="16"/>
  <c r="H26" i="16"/>
  <c r="G26" i="16"/>
  <c r="K25" i="16"/>
  <c r="J25" i="16"/>
  <c r="I25" i="16"/>
  <c r="H25" i="16"/>
  <c r="G25" i="16"/>
  <c r="K24" i="16"/>
  <c r="J24" i="16"/>
  <c r="I24" i="16"/>
  <c r="H24" i="16"/>
  <c r="G24" i="16"/>
  <c r="K23" i="16"/>
  <c r="J23" i="16"/>
  <c r="I23" i="16"/>
  <c r="H23" i="16"/>
  <c r="G23" i="16"/>
  <c r="K22" i="16"/>
  <c r="J22" i="16"/>
  <c r="I22" i="16"/>
  <c r="H22" i="16"/>
  <c r="G22" i="16"/>
  <c r="K21" i="16"/>
  <c r="J21" i="16"/>
  <c r="I21" i="16"/>
  <c r="H21" i="16"/>
  <c r="G21" i="16"/>
  <c r="K20" i="16"/>
  <c r="J20" i="16"/>
  <c r="I20" i="16"/>
  <c r="H20" i="16"/>
  <c r="G20" i="16"/>
  <c r="K19" i="16"/>
  <c r="J19" i="16"/>
  <c r="I19" i="16"/>
  <c r="H19" i="16"/>
  <c r="G19" i="16"/>
  <c r="K18" i="16"/>
  <c r="J18" i="16"/>
  <c r="I18" i="16"/>
  <c r="H18" i="16"/>
  <c r="G18" i="16"/>
  <c r="K17" i="16"/>
  <c r="J17" i="16"/>
  <c r="I17" i="16"/>
  <c r="H17" i="16"/>
  <c r="G17" i="16"/>
  <c r="K16" i="16"/>
  <c r="J16" i="16"/>
  <c r="I16" i="16"/>
  <c r="H16" i="16"/>
  <c r="G16" i="16"/>
  <c r="K15" i="16"/>
  <c r="J15" i="16"/>
  <c r="I15" i="16"/>
  <c r="H15" i="16"/>
  <c r="G15" i="16"/>
  <c r="K14" i="16"/>
  <c r="J14" i="16"/>
  <c r="I14" i="16"/>
  <c r="H14" i="16"/>
  <c r="G14" i="16"/>
  <c r="K13" i="16"/>
  <c r="J13" i="16"/>
  <c r="I13" i="16"/>
  <c r="H13" i="16"/>
  <c r="G13" i="16"/>
  <c r="K12" i="16"/>
  <c r="J12" i="16"/>
  <c r="I12" i="16"/>
  <c r="H12" i="16"/>
  <c r="G12" i="16"/>
  <c r="K11" i="16"/>
  <c r="J11" i="16"/>
  <c r="I11" i="16"/>
  <c r="H11" i="16"/>
  <c r="G11" i="16"/>
  <c r="K10" i="16"/>
  <c r="J10" i="16"/>
  <c r="I10" i="16"/>
  <c r="H10" i="16"/>
  <c r="G10" i="16"/>
  <c r="K9" i="16"/>
  <c r="J9" i="16"/>
  <c r="I9" i="16"/>
  <c r="H9" i="16"/>
  <c r="G9" i="16"/>
  <c r="K8" i="16"/>
  <c r="J8" i="16"/>
  <c r="I8" i="16"/>
  <c r="H8" i="16"/>
  <c r="G8" i="16"/>
  <c r="K7" i="16"/>
  <c r="J7" i="16"/>
  <c r="I7" i="16"/>
  <c r="H7" i="16"/>
  <c r="G7" i="16"/>
  <c r="K6" i="16"/>
  <c r="J6" i="16"/>
  <c r="I6" i="16"/>
  <c r="H6" i="16"/>
  <c r="G6" i="16"/>
  <c r="K5" i="16"/>
  <c r="J5" i="16"/>
  <c r="I5" i="16"/>
  <c r="H5" i="16"/>
  <c r="G5" i="16"/>
  <c r="K4" i="16"/>
  <c r="J4" i="16"/>
  <c r="I4" i="16"/>
  <c r="H4" i="16"/>
  <c r="G4" i="16"/>
  <c r="K3" i="16"/>
  <c r="J3" i="16"/>
  <c r="I3" i="16"/>
  <c r="H3" i="16"/>
  <c r="G3" i="16"/>
  <c r="K2" i="16"/>
  <c r="J2" i="16"/>
  <c r="I2" i="16"/>
  <c r="H2" i="16"/>
  <c r="G2" i="16"/>
  <c r="M61" i="15"/>
  <c r="L61" i="15"/>
  <c r="K61" i="15"/>
  <c r="J61" i="15"/>
  <c r="I61" i="15"/>
  <c r="H61" i="15"/>
  <c r="M60" i="15"/>
  <c r="L60" i="15"/>
  <c r="K60" i="15"/>
  <c r="J60" i="15"/>
  <c r="I60" i="15"/>
  <c r="H60" i="15"/>
  <c r="M59" i="15"/>
  <c r="L59" i="15"/>
  <c r="K59" i="15"/>
  <c r="J59" i="15"/>
  <c r="I59" i="15"/>
  <c r="H59" i="15"/>
  <c r="M58" i="15"/>
  <c r="L58" i="15"/>
  <c r="K58" i="15"/>
  <c r="J58" i="15"/>
  <c r="I58" i="15"/>
  <c r="H58" i="15"/>
  <c r="M57" i="15"/>
  <c r="L57" i="15"/>
  <c r="K57" i="15"/>
  <c r="J57" i="15"/>
  <c r="I57" i="15"/>
  <c r="H57" i="15"/>
  <c r="M56" i="15"/>
  <c r="L56" i="15"/>
  <c r="K56" i="15"/>
  <c r="J56" i="15"/>
  <c r="I56" i="15"/>
  <c r="H56" i="15"/>
  <c r="M55" i="15"/>
  <c r="L55" i="15"/>
  <c r="K55" i="15"/>
  <c r="J55" i="15"/>
  <c r="I55" i="15"/>
  <c r="H55" i="15"/>
  <c r="M54" i="15"/>
  <c r="L54" i="15"/>
  <c r="K54" i="15"/>
  <c r="J54" i="15"/>
  <c r="I54" i="15"/>
  <c r="H54" i="15"/>
  <c r="M53" i="15"/>
  <c r="L53" i="15"/>
  <c r="K53" i="15"/>
  <c r="J53" i="15"/>
  <c r="I53" i="15"/>
  <c r="H53" i="15"/>
  <c r="M52" i="15"/>
  <c r="L52" i="15"/>
  <c r="K52" i="15"/>
  <c r="J52" i="15"/>
  <c r="I52" i="15"/>
  <c r="H52" i="15"/>
  <c r="M51" i="15"/>
  <c r="L51" i="15"/>
  <c r="K51" i="15"/>
  <c r="J51" i="15"/>
  <c r="I51" i="15"/>
  <c r="H51" i="15"/>
  <c r="M50" i="15"/>
  <c r="L50" i="15"/>
  <c r="K50" i="15"/>
  <c r="J50" i="15"/>
  <c r="I50" i="15"/>
  <c r="H50" i="15"/>
  <c r="M49" i="15"/>
  <c r="L49" i="15"/>
  <c r="K49" i="15"/>
  <c r="J49" i="15"/>
  <c r="I49" i="15"/>
  <c r="H49" i="15"/>
  <c r="M48" i="15"/>
  <c r="L48" i="15"/>
  <c r="K48" i="15"/>
  <c r="J48" i="15"/>
  <c r="I48" i="15"/>
  <c r="H48" i="15"/>
  <c r="M47" i="15"/>
  <c r="L47" i="15"/>
  <c r="K47" i="15"/>
  <c r="J47" i="15"/>
  <c r="I47" i="15"/>
  <c r="H47" i="15"/>
  <c r="M46" i="15"/>
  <c r="L46" i="15"/>
  <c r="K46" i="15"/>
  <c r="J46" i="15"/>
  <c r="I46" i="15"/>
  <c r="H46" i="15"/>
  <c r="M45" i="15"/>
  <c r="L45" i="15"/>
  <c r="K45" i="15"/>
  <c r="J45" i="15"/>
  <c r="I45" i="15"/>
  <c r="H45" i="15"/>
  <c r="M44" i="15"/>
  <c r="L44" i="15"/>
  <c r="K44" i="15"/>
  <c r="J44" i="15"/>
  <c r="I44" i="15"/>
  <c r="H44" i="15"/>
  <c r="M43" i="15"/>
  <c r="L43" i="15"/>
  <c r="K43" i="15"/>
  <c r="J43" i="15"/>
  <c r="I43" i="15"/>
  <c r="H43" i="15"/>
  <c r="M42" i="15"/>
  <c r="L42" i="15"/>
  <c r="K42" i="15"/>
  <c r="J42" i="15"/>
  <c r="I42" i="15"/>
  <c r="H42" i="15"/>
  <c r="M41" i="15"/>
  <c r="L41" i="15"/>
  <c r="K41" i="15"/>
  <c r="J41" i="15"/>
  <c r="I41" i="15"/>
  <c r="H41" i="15"/>
  <c r="M40" i="15"/>
  <c r="L40" i="15"/>
  <c r="K40" i="15"/>
  <c r="J40" i="15"/>
  <c r="I40" i="15"/>
  <c r="H40" i="15"/>
  <c r="M39" i="15"/>
  <c r="L39" i="15"/>
  <c r="K39" i="15"/>
  <c r="J39" i="15"/>
  <c r="I39" i="15"/>
  <c r="H39" i="15"/>
  <c r="M38" i="15"/>
  <c r="L38" i="15"/>
  <c r="K38" i="15"/>
  <c r="J38" i="15"/>
  <c r="I38" i="15"/>
  <c r="H38" i="15"/>
  <c r="M37" i="15"/>
  <c r="L37" i="15"/>
  <c r="K37" i="15"/>
  <c r="J37" i="15"/>
  <c r="I37" i="15"/>
  <c r="H37" i="15"/>
  <c r="M36" i="15"/>
  <c r="L36" i="15"/>
  <c r="K36" i="15"/>
  <c r="J36" i="15"/>
  <c r="I36" i="15"/>
  <c r="H36" i="15"/>
  <c r="M35" i="15"/>
  <c r="L35" i="15"/>
  <c r="K35" i="15"/>
  <c r="J35" i="15"/>
  <c r="I35" i="15"/>
  <c r="H35" i="15"/>
  <c r="M34" i="15"/>
  <c r="L34" i="15"/>
  <c r="K34" i="15"/>
  <c r="J34" i="15"/>
  <c r="I34" i="15"/>
  <c r="H34" i="15"/>
  <c r="M33" i="15"/>
  <c r="L33" i="15"/>
  <c r="K33" i="15"/>
  <c r="J33" i="15"/>
  <c r="I33" i="15"/>
  <c r="H33" i="15"/>
  <c r="M32" i="15"/>
  <c r="L32" i="15"/>
  <c r="K32" i="15"/>
  <c r="J32" i="15"/>
  <c r="I32" i="15"/>
  <c r="H32" i="15"/>
  <c r="M31" i="15"/>
  <c r="L31" i="15"/>
  <c r="K31" i="15"/>
  <c r="J31" i="15"/>
  <c r="I31" i="15"/>
  <c r="H31" i="15"/>
  <c r="M30" i="15"/>
  <c r="L30" i="15"/>
  <c r="K30" i="15"/>
  <c r="J30" i="15"/>
  <c r="I30" i="15"/>
  <c r="H30" i="15"/>
  <c r="M29" i="15"/>
  <c r="L29" i="15"/>
  <c r="K29" i="15"/>
  <c r="J29" i="15"/>
  <c r="I29" i="15"/>
  <c r="H29" i="15"/>
  <c r="M28" i="15"/>
  <c r="L28" i="15"/>
  <c r="K28" i="15"/>
  <c r="J28" i="15"/>
  <c r="I28" i="15"/>
  <c r="H28" i="15"/>
  <c r="M27" i="15"/>
  <c r="L27" i="15"/>
  <c r="K27" i="15"/>
  <c r="J27" i="15"/>
  <c r="I27" i="15"/>
  <c r="H27" i="15"/>
  <c r="M26" i="15"/>
  <c r="L26" i="15"/>
  <c r="K26" i="15"/>
  <c r="J26" i="15"/>
  <c r="I26" i="15"/>
  <c r="H26" i="15"/>
  <c r="M25" i="15"/>
  <c r="L25" i="15"/>
  <c r="K25" i="15"/>
  <c r="J25" i="15"/>
  <c r="I25" i="15"/>
  <c r="H25" i="15"/>
  <c r="M24" i="15"/>
  <c r="L24" i="15"/>
  <c r="K24" i="15"/>
  <c r="J24" i="15"/>
  <c r="I24" i="15"/>
  <c r="H24" i="15"/>
  <c r="M23" i="15"/>
  <c r="L23" i="15"/>
  <c r="K23" i="15"/>
  <c r="J23" i="15"/>
  <c r="I23" i="15"/>
  <c r="H23" i="15"/>
  <c r="M22" i="15"/>
  <c r="L22" i="15"/>
  <c r="K22" i="15"/>
  <c r="J22" i="15"/>
  <c r="I22" i="15"/>
  <c r="H22" i="15"/>
  <c r="M21" i="15"/>
  <c r="L21" i="15"/>
  <c r="K21" i="15"/>
  <c r="J21" i="15"/>
  <c r="I21" i="15"/>
  <c r="H21" i="15"/>
  <c r="M20" i="15"/>
  <c r="L20" i="15"/>
  <c r="K20" i="15"/>
  <c r="J20" i="15"/>
  <c r="I20" i="15"/>
  <c r="H20" i="15"/>
  <c r="M19" i="15"/>
  <c r="L19" i="15"/>
  <c r="K19" i="15"/>
  <c r="J19" i="15"/>
  <c r="I19" i="15"/>
  <c r="H19" i="15"/>
  <c r="M18" i="15"/>
  <c r="L18" i="15"/>
  <c r="K18" i="15"/>
  <c r="J18" i="15"/>
  <c r="I18" i="15"/>
  <c r="H18" i="15"/>
  <c r="M17" i="15"/>
  <c r="L17" i="15"/>
  <c r="K17" i="15"/>
  <c r="J17" i="15"/>
  <c r="I17" i="15"/>
  <c r="H17" i="15"/>
  <c r="M16" i="15"/>
  <c r="L16" i="15"/>
  <c r="K16" i="15"/>
  <c r="J16" i="15"/>
  <c r="I16" i="15"/>
  <c r="H16" i="15"/>
  <c r="M15" i="15"/>
  <c r="L15" i="15"/>
  <c r="K15" i="15"/>
  <c r="J15" i="15"/>
  <c r="I15" i="15"/>
  <c r="H15" i="15"/>
  <c r="M14" i="15"/>
  <c r="L14" i="15"/>
  <c r="K14" i="15"/>
  <c r="J14" i="15"/>
  <c r="I14" i="15"/>
  <c r="H14" i="15"/>
  <c r="M13" i="15"/>
  <c r="L13" i="15"/>
  <c r="K13" i="15"/>
  <c r="J13" i="15"/>
  <c r="I13" i="15"/>
  <c r="H13" i="15"/>
  <c r="M12" i="15"/>
  <c r="L12" i="15"/>
  <c r="K12" i="15"/>
  <c r="J12" i="15"/>
  <c r="I12" i="15"/>
  <c r="H12" i="15"/>
  <c r="M11" i="15"/>
  <c r="L11" i="15"/>
  <c r="K11" i="15"/>
  <c r="J11" i="15"/>
  <c r="I11" i="15"/>
  <c r="H11" i="15"/>
  <c r="M10" i="15"/>
  <c r="L10" i="15"/>
  <c r="K10" i="15"/>
  <c r="J10" i="15"/>
  <c r="I10" i="15"/>
  <c r="H10" i="15"/>
  <c r="M9" i="15"/>
  <c r="L9" i="15"/>
  <c r="K9" i="15"/>
  <c r="J9" i="15"/>
  <c r="I9" i="15"/>
  <c r="H9" i="15"/>
  <c r="M8" i="15"/>
  <c r="L8" i="15"/>
  <c r="K8" i="15"/>
  <c r="J8" i="15"/>
  <c r="I8" i="15"/>
  <c r="H8" i="15"/>
  <c r="M7" i="15"/>
  <c r="L7" i="15"/>
  <c r="K7" i="15"/>
  <c r="J7" i="15"/>
  <c r="I7" i="15"/>
  <c r="H7" i="15"/>
  <c r="M6" i="15"/>
  <c r="L6" i="15"/>
  <c r="K6" i="15"/>
  <c r="J6" i="15"/>
  <c r="I6" i="15"/>
  <c r="H6" i="15"/>
  <c r="M5" i="15"/>
  <c r="L5" i="15"/>
  <c r="K5" i="15"/>
  <c r="J5" i="15"/>
  <c r="I5" i="15"/>
  <c r="H5" i="15"/>
  <c r="M4" i="15"/>
  <c r="L4" i="15"/>
  <c r="K4" i="15"/>
  <c r="J4" i="15"/>
  <c r="I4" i="15"/>
  <c r="H4" i="15"/>
  <c r="M3" i="15"/>
  <c r="L3" i="15"/>
  <c r="K3" i="15"/>
  <c r="J3" i="15"/>
  <c r="I3" i="15"/>
  <c r="H3" i="15"/>
  <c r="M2" i="15"/>
  <c r="L2" i="15"/>
  <c r="K2" i="15"/>
  <c r="J2" i="15"/>
  <c r="I2" i="15"/>
  <c r="H2" i="15"/>
  <c r="AK61" i="14"/>
  <c r="AJ61" i="14"/>
  <c r="AI61" i="14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AK60" i="14"/>
  <c r="AJ60" i="14"/>
  <c r="AI60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AK59" i="14"/>
  <c r="AJ59" i="14"/>
  <c r="AI59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AK57" i="14"/>
  <c r="AJ57" i="14"/>
  <c r="AI57" i="14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AK46" i="14"/>
  <c r="AJ46" i="14"/>
  <c r="AI46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AK36" i="14"/>
  <c r="AJ36" i="14"/>
  <c r="AI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AK35" i="14"/>
  <c r="AJ35" i="14"/>
  <c r="AI35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G61" i="13"/>
  <c r="F61" i="13"/>
  <c r="E61" i="13"/>
  <c r="G60" i="13"/>
  <c r="F60" i="13"/>
  <c r="E60" i="13"/>
  <c r="G59" i="13"/>
  <c r="F59" i="13"/>
  <c r="E59" i="13"/>
  <c r="G58" i="13"/>
  <c r="F58" i="13"/>
  <c r="E58" i="13"/>
  <c r="G57" i="13"/>
  <c r="F57" i="13"/>
  <c r="E57" i="13"/>
  <c r="G56" i="13"/>
  <c r="F56" i="13"/>
  <c r="E56" i="13"/>
  <c r="G55" i="13"/>
  <c r="F55" i="13"/>
  <c r="E55" i="13"/>
  <c r="G54" i="13"/>
  <c r="F54" i="13"/>
  <c r="E54" i="13"/>
  <c r="G53" i="13"/>
  <c r="F53" i="13"/>
  <c r="E53" i="13"/>
  <c r="G52" i="13"/>
  <c r="F52" i="13"/>
  <c r="E52" i="13"/>
  <c r="G51" i="13"/>
  <c r="F51" i="13"/>
  <c r="E51" i="13"/>
  <c r="G50" i="13"/>
  <c r="F50" i="13"/>
  <c r="E50" i="13"/>
  <c r="G49" i="13"/>
  <c r="F49" i="13"/>
  <c r="E49" i="13"/>
  <c r="G48" i="13"/>
  <c r="F48" i="13"/>
  <c r="E48" i="13"/>
  <c r="G47" i="13"/>
  <c r="F47" i="13"/>
  <c r="E47" i="13"/>
  <c r="G46" i="13"/>
  <c r="F46" i="13"/>
  <c r="E46" i="13"/>
  <c r="G45" i="13"/>
  <c r="F45" i="13"/>
  <c r="E45" i="13"/>
  <c r="G44" i="13"/>
  <c r="F44" i="13"/>
  <c r="E44" i="13"/>
  <c r="G43" i="13"/>
  <c r="F43" i="13"/>
  <c r="E43" i="13"/>
  <c r="G42" i="13"/>
  <c r="F42" i="13"/>
  <c r="E42" i="13"/>
  <c r="G41" i="13"/>
  <c r="F41" i="13"/>
  <c r="E41" i="13"/>
  <c r="G40" i="13"/>
  <c r="F40" i="13"/>
  <c r="E40" i="13"/>
  <c r="G39" i="13"/>
  <c r="F39" i="13"/>
  <c r="E39" i="13"/>
  <c r="G38" i="13"/>
  <c r="F38" i="13"/>
  <c r="E38" i="13"/>
  <c r="G37" i="13"/>
  <c r="F37" i="13"/>
  <c r="E37" i="13"/>
  <c r="G36" i="13"/>
  <c r="F36" i="13"/>
  <c r="E36" i="13"/>
  <c r="G35" i="13"/>
  <c r="F35" i="13"/>
  <c r="E35" i="13"/>
  <c r="G34" i="13"/>
  <c r="F34" i="13"/>
  <c r="E34" i="13"/>
  <c r="G33" i="13"/>
  <c r="F33" i="13"/>
  <c r="E33" i="13"/>
  <c r="G32" i="13"/>
  <c r="F32" i="13"/>
  <c r="E32" i="13"/>
  <c r="G31" i="13"/>
  <c r="F31" i="13"/>
  <c r="E31" i="13"/>
  <c r="G30" i="13"/>
  <c r="F30" i="13"/>
  <c r="E30" i="13"/>
  <c r="G29" i="13"/>
  <c r="F29" i="13"/>
  <c r="E29" i="13"/>
  <c r="G28" i="13"/>
  <c r="F28" i="13"/>
  <c r="E28" i="13"/>
  <c r="G27" i="13"/>
  <c r="F27" i="13"/>
  <c r="E27" i="13"/>
  <c r="G26" i="13"/>
  <c r="F26" i="13"/>
  <c r="E26" i="13"/>
  <c r="G25" i="13"/>
  <c r="F25" i="13"/>
  <c r="E25" i="13"/>
  <c r="G24" i="13"/>
  <c r="F24" i="13"/>
  <c r="E24" i="13"/>
  <c r="G23" i="13"/>
  <c r="F23" i="13"/>
  <c r="E23" i="13"/>
  <c r="G22" i="13"/>
  <c r="F22" i="13"/>
  <c r="E22" i="13"/>
  <c r="G21" i="13"/>
  <c r="F21" i="13"/>
  <c r="E21" i="13"/>
  <c r="G20" i="13"/>
  <c r="F20" i="13"/>
  <c r="E20" i="13"/>
  <c r="G19" i="13"/>
  <c r="F19" i="13"/>
  <c r="E19" i="13"/>
  <c r="G18" i="13"/>
  <c r="F18" i="13"/>
  <c r="E18" i="13"/>
  <c r="G17" i="13"/>
  <c r="F17" i="13"/>
  <c r="E17" i="13"/>
  <c r="G16" i="13"/>
  <c r="F16" i="13"/>
  <c r="E16" i="13"/>
  <c r="G15" i="13"/>
  <c r="F15" i="13"/>
  <c r="E15" i="13"/>
  <c r="G14" i="13"/>
  <c r="F14" i="13"/>
  <c r="E14" i="13"/>
  <c r="G13" i="13"/>
  <c r="F13" i="13"/>
  <c r="E13" i="13"/>
  <c r="G12" i="13"/>
  <c r="F12" i="13"/>
  <c r="E12" i="13"/>
  <c r="G11" i="13"/>
  <c r="F11" i="13"/>
  <c r="E11" i="13"/>
  <c r="G10" i="13"/>
  <c r="F10" i="13"/>
  <c r="E10" i="13"/>
  <c r="G9" i="13"/>
  <c r="F9" i="13"/>
  <c r="E9" i="13"/>
  <c r="G8" i="13"/>
  <c r="F8" i="13"/>
  <c r="E8" i="13"/>
  <c r="G7" i="13"/>
  <c r="F7" i="13"/>
  <c r="E7" i="13"/>
  <c r="G6" i="13"/>
  <c r="F6" i="13"/>
  <c r="E6" i="13"/>
  <c r="G5" i="13"/>
  <c r="F5" i="13"/>
  <c r="E5" i="13"/>
  <c r="G4" i="13"/>
  <c r="F4" i="13"/>
  <c r="E4" i="13"/>
  <c r="G3" i="13"/>
  <c r="F3" i="13"/>
  <c r="E3" i="13"/>
  <c r="G2" i="13"/>
  <c r="F2" i="13"/>
  <c r="E2" i="13"/>
  <c r="G61" i="12"/>
  <c r="F61" i="12"/>
  <c r="E61" i="12"/>
  <c r="G60" i="12"/>
  <c r="F60" i="12"/>
  <c r="E60" i="12"/>
  <c r="G59" i="12"/>
  <c r="F59" i="12"/>
  <c r="E59" i="12"/>
  <c r="G58" i="12"/>
  <c r="F58" i="12"/>
  <c r="E58" i="12"/>
  <c r="G57" i="12"/>
  <c r="F57" i="12"/>
  <c r="E57" i="12"/>
  <c r="G56" i="12"/>
  <c r="F56" i="12"/>
  <c r="E56" i="12"/>
  <c r="G55" i="12"/>
  <c r="F55" i="12"/>
  <c r="E55" i="12"/>
  <c r="G54" i="12"/>
  <c r="F54" i="12"/>
  <c r="E54" i="12"/>
  <c r="G53" i="12"/>
  <c r="F53" i="12"/>
  <c r="E53" i="12"/>
  <c r="G52" i="12"/>
  <c r="F52" i="12"/>
  <c r="E52" i="12"/>
  <c r="G51" i="12"/>
  <c r="F51" i="12"/>
  <c r="E51" i="12"/>
  <c r="G50" i="12"/>
  <c r="F50" i="12"/>
  <c r="E50" i="12"/>
  <c r="G49" i="12"/>
  <c r="F49" i="12"/>
  <c r="E49" i="12"/>
  <c r="G48" i="12"/>
  <c r="F48" i="12"/>
  <c r="E48" i="12"/>
  <c r="G47" i="12"/>
  <c r="F47" i="12"/>
  <c r="E47" i="12"/>
  <c r="G46" i="12"/>
  <c r="F46" i="12"/>
  <c r="E46" i="12"/>
  <c r="G45" i="12"/>
  <c r="F45" i="12"/>
  <c r="E45" i="12"/>
  <c r="G44" i="12"/>
  <c r="F44" i="12"/>
  <c r="E44" i="12"/>
  <c r="G43" i="12"/>
  <c r="F43" i="12"/>
  <c r="E43" i="12"/>
  <c r="G42" i="12"/>
  <c r="F42" i="12"/>
  <c r="E42" i="12"/>
  <c r="G41" i="12"/>
  <c r="F41" i="12"/>
  <c r="E41" i="12"/>
  <c r="G40" i="12"/>
  <c r="F40" i="12"/>
  <c r="E40" i="12"/>
  <c r="G39" i="12"/>
  <c r="F39" i="12"/>
  <c r="E39" i="12"/>
  <c r="G38" i="12"/>
  <c r="F38" i="12"/>
  <c r="E38" i="12"/>
  <c r="G37" i="12"/>
  <c r="F37" i="12"/>
  <c r="E37" i="12"/>
  <c r="G36" i="12"/>
  <c r="F36" i="12"/>
  <c r="E36" i="12"/>
  <c r="G35" i="12"/>
  <c r="F35" i="12"/>
  <c r="E35" i="12"/>
  <c r="G34" i="12"/>
  <c r="F34" i="12"/>
  <c r="E34" i="12"/>
  <c r="G33" i="12"/>
  <c r="F33" i="12"/>
  <c r="E33" i="12"/>
  <c r="G32" i="12"/>
  <c r="F32" i="12"/>
  <c r="E32" i="12"/>
  <c r="G31" i="12"/>
  <c r="F31" i="12"/>
  <c r="E31" i="12"/>
  <c r="G30" i="12"/>
  <c r="F30" i="12"/>
  <c r="E30" i="12"/>
  <c r="G29" i="12"/>
  <c r="F29" i="12"/>
  <c r="E29" i="12"/>
  <c r="G28" i="12"/>
  <c r="F28" i="12"/>
  <c r="E28" i="12"/>
  <c r="G27" i="12"/>
  <c r="F27" i="12"/>
  <c r="E27" i="12"/>
  <c r="G26" i="12"/>
  <c r="F26" i="12"/>
  <c r="E26" i="12"/>
  <c r="G25" i="12"/>
  <c r="F25" i="12"/>
  <c r="E25" i="12"/>
  <c r="G24" i="12"/>
  <c r="F24" i="12"/>
  <c r="E24" i="12"/>
  <c r="G23" i="12"/>
  <c r="F23" i="12"/>
  <c r="E23" i="12"/>
  <c r="G22" i="12"/>
  <c r="F22" i="12"/>
  <c r="E22" i="12"/>
  <c r="G21" i="12"/>
  <c r="F21" i="12"/>
  <c r="E21" i="12"/>
  <c r="G20" i="12"/>
  <c r="F20" i="12"/>
  <c r="E20" i="12"/>
  <c r="G19" i="12"/>
  <c r="F19" i="12"/>
  <c r="E19" i="12"/>
  <c r="G18" i="12"/>
  <c r="F18" i="12"/>
  <c r="E18" i="12"/>
  <c r="G17" i="12"/>
  <c r="F17" i="12"/>
  <c r="E17" i="12"/>
  <c r="G16" i="12"/>
  <c r="F16" i="12"/>
  <c r="E16" i="12"/>
  <c r="G15" i="12"/>
  <c r="F15" i="12"/>
  <c r="E15" i="12"/>
  <c r="G14" i="12"/>
  <c r="F14" i="12"/>
  <c r="E14" i="12"/>
  <c r="G13" i="12"/>
  <c r="F13" i="12"/>
  <c r="E13" i="12"/>
  <c r="G12" i="12"/>
  <c r="F12" i="12"/>
  <c r="E12" i="12"/>
  <c r="G11" i="12"/>
  <c r="F11" i="12"/>
  <c r="E11" i="12"/>
  <c r="G10" i="12"/>
  <c r="F10" i="12"/>
  <c r="E10" i="12"/>
  <c r="G9" i="12"/>
  <c r="F9" i="12"/>
  <c r="E9" i="12"/>
  <c r="G8" i="12"/>
  <c r="F8" i="12"/>
  <c r="E8" i="12"/>
  <c r="G7" i="12"/>
  <c r="F7" i="12"/>
  <c r="E7" i="12"/>
  <c r="G6" i="12"/>
  <c r="F6" i="12"/>
  <c r="E6" i="12"/>
  <c r="G5" i="12"/>
  <c r="F5" i="12"/>
  <c r="E5" i="12"/>
  <c r="G4" i="12"/>
  <c r="F4" i="12"/>
  <c r="E4" i="12"/>
  <c r="G3" i="12"/>
  <c r="F3" i="12"/>
  <c r="E3" i="12"/>
  <c r="G2" i="12"/>
  <c r="F2" i="12"/>
  <c r="E2" i="12"/>
  <c r="E61" i="11"/>
  <c r="D61" i="11"/>
  <c r="E60" i="11"/>
  <c r="D60" i="11"/>
  <c r="E59" i="11"/>
  <c r="D59" i="11"/>
  <c r="E58" i="11"/>
  <c r="D58" i="11"/>
  <c r="E57" i="11"/>
  <c r="D57" i="11"/>
  <c r="E56" i="11"/>
  <c r="D56" i="11"/>
  <c r="E55" i="11"/>
  <c r="D55" i="11"/>
  <c r="E54" i="11"/>
  <c r="D54" i="11"/>
  <c r="E53" i="11"/>
  <c r="D53" i="11"/>
  <c r="E52" i="11"/>
  <c r="D52" i="11"/>
  <c r="E51" i="11"/>
  <c r="D51" i="11"/>
  <c r="E50" i="11"/>
  <c r="D50" i="11"/>
  <c r="E49" i="11"/>
  <c r="D49" i="11"/>
  <c r="E48" i="11"/>
  <c r="D48" i="11"/>
  <c r="E47" i="11"/>
  <c r="D47" i="11"/>
  <c r="E46" i="11"/>
  <c r="D46" i="11"/>
  <c r="E45" i="11"/>
  <c r="D45" i="11"/>
  <c r="E44" i="11"/>
  <c r="D44" i="11"/>
  <c r="E43" i="11"/>
  <c r="D43" i="11"/>
  <c r="E42" i="11"/>
  <c r="D42" i="11"/>
  <c r="E41" i="11"/>
  <c r="D41" i="11"/>
  <c r="E40" i="11"/>
  <c r="D40" i="11"/>
  <c r="E39" i="11"/>
  <c r="D39" i="11"/>
  <c r="E38" i="11"/>
  <c r="D38" i="11"/>
  <c r="E37" i="11"/>
  <c r="D37" i="11"/>
  <c r="E36" i="11"/>
  <c r="D36" i="11"/>
  <c r="E35" i="11"/>
  <c r="D35" i="11"/>
  <c r="E34" i="11"/>
  <c r="D34" i="11"/>
  <c r="E33" i="11"/>
  <c r="D33" i="11"/>
  <c r="E32" i="11"/>
  <c r="D32" i="11"/>
  <c r="E31" i="11"/>
  <c r="D31" i="11"/>
  <c r="E30" i="11"/>
  <c r="D30" i="11"/>
  <c r="E29" i="11"/>
  <c r="D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E18" i="11"/>
  <c r="D18" i="11"/>
  <c r="E17" i="11"/>
  <c r="D17" i="1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3" i="11"/>
  <c r="D3" i="11"/>
  <c r="E2" i="11"/>
  <c r="D2" i="11"/>
  <c r="G61" i="10"/>
  <c r="F61" i="10"/>
  <c r="E61" i="10"/>
  <c r="G60" i="10"/>
  <c r="F60" i="10"/>
  <c r="E60" i="10"/>
  <c r="G59" i="10"/>
  <c r="F59" i="10"/>
  <c r="E59" i="10"/>
  <c r="G58" i="10"/>
  <c r="F58" i="10"/>
  <c r="E58" i="10"/>
  <c r="G57" i="10"/>
  <c r="F57" i="10"/>
  <c r="E57" i="10"/>
  <c r="G56" i="10"/>
  <c r="F56" i="10"/>
  <c r="E56" i="10"/>
  <c r="G55" i="10"/>
  <c r="F55" i="10"/>
  <c r="E55" i="10"/>
  <c r="G54" i="10"/>
  <c r="F54" i="10"/>
  <c r="E54" i="10"/>
  <c r="G53" i="10"/>
  <c r="F53" i="10"/>
  <c r="E53" i="10"/>
  <c r="G52" i="10"/>
  <c r="F52" i="10"/>
  <c r="E52" i="10"/>
  <c r="G51" i="10"/>
  <c r="F51" i="10"/>
  <c r="E51" i="10"/>
  <c r="G50" i="10"/>
  <c r="F50" i="10"/>
  <c r="E50" i="10"/>
  <c r="G49" i="10"/>
  <c r="F49" i="10"/>
  <c r="E49" i="10"/>
  <c r="G48" i="10"/>
  <c r="F48" i="10"/>
  <c r="E48" i="10"/>
  <c r="G47" i="10"/>
  <c r="F47" i="10"/>
  <c r="E47" i="10"/>
  <c r="G46" i="10"/>
  <c r="F46" i="10"/>
  <c r="E46" i="10"/>
  <c r="G45" i="10"/>
  <c r="F45" i="10"/>
  <c r="E45" i="10"/>
  <c r="G44" i="10"/>
  <c r="F44" i="10"/>
  <c r="E44" i="10"/>
  <c r="G43" i="10"/>
  <c r="F43" i="10"/>
  <c r="E43" i="10"/>
  <c r="G42" i="10"/>
  <c r="F42" i="10"/>
  <c r="E42" i="10"/>
  <c r="G41" i="10"/>
  <c r="F41" i="10"/>
  <c r="E41" i="10"/>
  <c r="G40" i="10"/>
  <c r="F40" i="10"/>
  <c r="E40" i="10"/>
  <c r="G39" i="10"/>
  <c r="F39" i="10"/>
  <c r="E39" i="10"/>
  <c r="G38" i="10"/>
  <c r="F38" i="10"/>
  <c r="E38" i="10"/>
  <c r="G37" i="10"/>
  <c r="F37" i="10"/>
  <c r="E37" i="10"/>
  <c r="G36" i="10"/>
  <c r="F36" i="10"/>
  <c r="E36" i="10"/>
  <c r="G35" i="10"/>
  <c r="F35" i="10"/>
  <c r="E35" i="10"/>
  <c r="G34" i="10"/>
  <c r="F34" i="10"/>
  <c r="E34" i="10"/>
  <c r="G33" i="10"/>
  <c r="F33" i="10"/>
  <c r="E33" i="10"/>
  <c r="G32" i="10"/>
  <c r="F32" i="10"/>
  <c r="E32" i="10"/>
  <c r="G31" i="10"/>
  <c r="F31" i="10"/>
  <c r="E31" i="10"/>
  <c r="G30" i="10"/>
  <c r="F30" i="10"/>
  <c r="E30" i="10"/>
  <c r="G29" i="10"/>
  <c r="F29" i="10"/>
  <c r="E29" i="10"/>
  <c r="G28" i="10"/>
  <c r="F28" i="10"/>
  <c r="E28" i="10"/>
  <c r="G27" i="10"/>
  <c r="F27" i="10"/>
  <c r="E27" i="10"/>
  <c r="G26" i="10"/>
  <c r="F26" i="10"/>
  <c r="E26" i="10"/>
  <c r="G25" i="10"/>
  <c r="F25" i="10"/>
  <c r="E25" i="10"/>
  <c r="G24" i="10"/>
  <c r="F24" i="10"/>
  <c r="E24" i="10"/>
  <c r="G23" i="10"/>
  <c r="F23" i="10"/>
  <c r="E23" i="10"/>
  <c r="G22" i="10"/>
  <c r="F22" i="10"/>
  <c r="E22" i="10"/>
  <c r="G21" i="10"/>
  <c r="F21" i="10"/>
  <c r="E21" i="10"/>
  <c r="G20" i="10"/>
  <c r="F20" i="10"/>
  <c r="E20" i="10"/>
  <c r="G19" i="10"/>
  <c r="F19" i="10"/>
  <c r="E19" i="10"/>
  <c r="G18" i="10"/>
  <c r="F18" i="10"/>
  <c r="E18" i="10"/>
  <c r="G17" i="10"/>
  <c r="F17" i="10"/>
  <c r="E17" i="10"/>
  <c r="G16" i="10"/>
  <c r="F16" i="10"/>
  <c r="E16" i="10"/>
  <c r="G15" i="10"/>
  <c r="F15" i="10"/>
  <c r="E15" i="10"/>
  <c r="G14" i="10"/>
  <c r="F14" i="10"/>
  <c r="E14" i="10"/>
  <c r="G13" i="10"/>
  <c r="F13" i="10"/>
  <c r="E13" i="10"/>
  <c r="G12" i="10"/>
  <c r="F12" i="10"/>
  <c r="E12" i="10"/>
  <c r="G11" i="10"/>
  <c r="F11" i="10"/>
  <c r="E11" i="10"/>
  <c r="G10" i="10"/>
  <c r="F10" i="10"/>
  <c r="E10" i="10"/>
  <c r="G9" i="10"/>
  <c r="F9" i="10"/>
  <c r="E9" i="10"/>
  <c r="G8" i="10"/>
  <c r="F8" i="10"/>
  <c r="E8" i="10"/>
  <c r="G7" i="10"/>
  <c r="F7" i="10"/>
  <c r="E7" i="10"/>
  <c r="G6" i="10"/>
  <c r="F6" i="10"/>
  <c r="E6" i="10"/>
  <c r="G5" i="10"/>
  <c r="F5" i="10"/>
  <c r="E5" i="10"/>
  <c r="G4" i="10"/>
  <c r="F4" i="10"/>
  <c r="E4" i="10"/>
  <c r="G3" i="10"/>
  <c r="F3" i="10"/>
  <c r="E3" i="10"/>
  <c r="G2" i="10"/>
  <c r="F2" i="10"/>
  <c r="E2" i="10"/>
  <c r="G61" i="9"/>
  <c r="F61" i="9"/>
  <c r="E61" i="9"/>
  <c r="G60" i="9"/>
  <c r="F60" i="9"/>
  <c r="E60" i="9"/>
  <c r="G59" i="9"/>
  <c r="F59" i="9"/>
  <c r="E59" i="9"/>
  <c r="G58" i="9"/>
  <c r="F58" i="9"/>
  <c r="E58" i="9"/>
  <c r="G57" i="9"/>
  <c r="F57" i="9"/>
  <c r="E57" i="9"/>
  <c r="G56" i="9"/>
  <c r="F56" i="9"/>
  <c r="E56" i="9"/>
  <c r="G55" i="9"/>
  <c r="F55" i="9"/>
  <c r="E55" i="9"/>
  <c r="G54" i="9"/>
  <c r="F54" i="9"/>
  <c r="E54" i="9"/>
  <c r="G53" i="9"/>
  <c r="F53" i="9"/>
  <c r="E53" i="9"/>
  <c r="G52" i="9"/>
  <c r="F52" i="9"/>
  <c r="E52" i="9"/>
  <c r="G51" i="9"/>
  <c r="F51" i="9"/>
  <c r="E51" i="9"/>
  <c r="G50" i="9"/>
  <c r="F50" i="9"/>
  <c r="E50" i="9"/>
  <c r="G49" i="9"/>
  <c r="F49" i="9"/>
  <c r="E49" i="9"/>
  <c r="G48" i="9"/>
  <c r="F48" i="9"/>
  <c r="E48" i="9"/>
  <c r="G47" i="9"/>
  <c r="F47" i="9"/>
  <c r="E47" i="9"/>
  <c r="G46" i="9"/>
  <c r="F46" i="9"/>
  <c r="E46" i="9"/>
  <c r="G45" i="9"/>
  <c r="F45" i="9"/>
  <c r="E45" i="9"/>
  <c r="G44" i="9"/>
  <c r="F44" i="9"/>
  <c r="E44" i="9"/>
  <c r="G43" i="9"/>
  <c r="F43" i="9"/>
  <c r="E43" i="9"/>
  <c r="G42" i="9"/>
  <c r="F42" i="9"/>
  <c r="E42" i="9"/>
  <c r="G41" i="9"/>
  <c r="F41" i="9"/>
  <c r="E41" i="9"/>
  <c r="G40" i="9"/>
  <c r="F40" i="9"/>
  <c r="E40" i="9"/>
  <c r="G39" i="9"/>
  <c r="F39" i="9"/>
  <c r="E39" i="9"/>
  <c r="G38" i="9"/>
  <c r="F38" i="9"/>
  <c r="E38" i="9"/>
  <c r="G37" i="9"/>
  <c r="F37" i="9"/>
  <c r="E37" i="9"/>
  <c r="G36" i="9"/>
  <c r="F36" i="9"/>
  <c r="E36" i="9"/>
  <c r="G35" i="9"/>
  <c r="F35" i="9"/>
  <c r="E35" i="9"/>
  <c r="G34" i="9"/>
  <c r="F34" i="9"/>
  <c r="E34" i="9"/>
  <c r="G33" i="9"/>
  <c r="F33" i="9"/>
  <c r="E33" i="9"/>
  <c r="G32" i="9"/>
  <c r="F32" i="9"/>
  <c r="E32" i="9"/>
  <c r="G31" i="9"/>
  <c r="F31" i="9"/>
  <c r="E31" i="9"/>
  <c r="G30" i="9"/>
  <c r="F30" i="9"/>
  <c r="E30" i="9"/>
  <c r="G29" i="9"/>
  <c r="F29" i="9"/>
  <c r="E29" i="9"/>
  <c r="G28" i="9"/>
  <c r="F28" i="9"/>
  <c r="E28" i="9"/>
  <c r="G27" i="9"/>
  <c r="F27" i="9"/>
  <c r="E27" i="9"/>
  <c r="G26" i="9"/>
  <c r="F26" i="9"/>
  <c r="E26" i="9"/>
  <c r="G25" i="9"/>
  <c r="F25" i="9"/>
  <c r="E25" i="9"/>
  <c r="G24" i="9"/>
  <c r="F24" i="9"/>
  <c r="E24" i="9"/>
  <c r="G23" i="9"/>
  <c r="F23" i="9"/>
  <c r="E23" i="9"/>
  <c r="G22" i="9"/>
  <c r="F22" i="9"/>
  <c r="E22" i="9"/>
  <c r="G21" i="9"/>
  <c r="F21" i="9"/>
  <c r="E21" i="9"/>
  <c r="G20" i="9"/>
  <c r="F20" i="9"/>
  <c r="E20" i="9"/>
  <c r="G19" i="9"/>
  <c r="F19" i="9"/>
  <c r="E19" i="9"/>
  <c r="G18" i="9"/>
  <c r="F18" i="9"/>
  <c r="E18" i="9"/>
  <c r="G17" i="9"/>
  <c r="F17" i="9"/>
  <c r="E17" i="9"/>
  <c r="G16" i="9"/>
  <c r="F16" i="9"/>
  <c r="E16" i="9"/>
  <c r="G15" i="9"/>
  <c r="F15" i="9"/>
  <c r="E15" i="9"/>
  <c r="G14" i="9"/>
  <c r="F14" i="9"/>
  <c r="E14" i="9"/>
  <c r="G13" i="9"/>
  <c r="F13" i="9"/>
  <c r="E13" i="9"/>
  <c r="G12" i="9"/>
  <c r="F12" i="9"/>
  <c r="E12" i="9"/>
  <c r="G11" i="9"/>
  <c r="F11" i="9"/>
  <c r="E11" i="9"/>
  <c r="G10" i="9"/>
  <c r="F10" i="9"/>
  <c r="E10" i="9"/>
  <c r="G9" i="9"/>
  <c r="F9" i="9"/>
  <c r="E9" i="9"/>
  <c r="G8" i="9"/>
  <c r="F8" i="9"/>
  <c r="E8" i="9"/>
  <c r="G7" i="9"/>
  <c r="F7" i="9"/>
  <c r="E7" i="9"/>
  <c r="G6" i="9"/>
  <c r="F6" i="9"/>
  <c r="E6" i="9"/>
  <c r="G5" i="9"/>
  <c r="F5" i="9"/>
  <c r="E5" i="9"/>
  <c r="G4" i="9"/>
  <c r="F4" i="9"/>
  <c r="E4" i="9"/>
  <c r="G3" i="9"/>
  <c r="F3" i="9"/>
  <c r="E3" i="9"/>
  <c r="G2" i="9"/>
  <c r="F2" i="9"/>
  <c r="E2" i="9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F55" i="8"/>
  <c r="E55" i="8"/>
  <c r="G54" i="8"/>
  <c r="F54" i="8"/>
  <c r="E54" i="8"/>
  <c r="G53" i="8"/>
  <c r="F53" i="8"/>
  <c r="E53" i="8"/>
  <c r="G52" i="8"/>
  <c r="F52" i="8"/>
  <c r="E52" i="8"/>
  <c r="G51" i="8"/>
  <c r="F51" i="8"/>
  <c r="E51" i="8"/>
  <c r="G50" i="8"/>
  <c r="F50" i="8"/>
  <c r="E50" i="8"/>
  <c r="G49" i="8"/>
  <c r="F49" i="8"/>
  <c r="E49" i="8"/>
  <c r="G48" i="8"/>
  <c r="F48" i="8"/>
  <c r="E48" i="8"/>
  <c r="G47" i="8"/>
  <c r="F47" i="8"/>
  <c r="E47" i="8"/>
  <c r="G46" i="8"/>
  <c r="F46" i="8"/>
  <c r="E46" i="8"/>
  <c r="G45" i="8"/>
  <c r="F45" i="8"/>
  <c r="E45" i="8"/>
  <c r="G44" i="8"/>
  <c r="F44" i="8"/>
  <c r="E44" i="8"/>
  <c r="G43" i="8"/>
  <c r="F43" i="8"/>
  <c r="E43" i="8"/>
  <c r="G42" i="8"/>
  <c r="F42" i="8"/>
  <c r="E42" i="8"/>
  <c r="G41" i="8"/>
  <c r="F41" i="8"/>
  <c r="E41" i="8"/>
  <c r="G40" i="8"/>
  <c r="F40" i="8"/>
  <c r="E40" i="8"/>
  <c r="G39" i="8"/>
  <c r="F39" i="8"/>
  <c r="E39" i="8"/>
  <c r="G38" i="8"/>
  <c r="F38" i="8"/>
  <c r="E38" i="8"/>
  <c r="G37" i="8"/>
  <c r="F37" i="8"/>
  <c r="E37" i="8"/>
  <c r="G36" i="8"/>
  <c r="F36" i="8"/>
  <c r="E36" i="8"/>
  <c r="G35" i="8"/>
  <c r="F35" i="8"/>
  <c r="E35" i="8"/>
  <c r="G34" i="8"/>
  <c r="F34" i="8"/>
  <c r="E34" i="8"/>
  <c r="G33" i="8"/>
  <c r="F33" i="8"/>
  <c r="E33" i="8"/>
  <c r="G32" i="8"/>
  <c r="F32" i="8"/>
  <c r="E32" i="8"/>
  <c r="G31" i="8"/>
  <c r="F31" i="8"/>
  <c r="E31" i="8"/>
  <c r="G30" i="8"/>
  <c r="F30" i="8"/>
  <c r="E30" i="8"/>
  <c r="G29" i="8"/>
  <c r="F29" i="8"/>
  <c r="E29" i="8"/>
  <c r="G28" i="8"/>
  <c r="F28" i="8"/>
  <c r="E28" i="8"/>
  <c r="G27" i="8"/>
  <c r="F27" i="8"/>
  <c r="E27" i="8"/>
  <c r="G26" i="8"/>
  <c r="F26" i="8"/>
  <c r="E26" i="8"/>
  <c r="G25" i="8"/>
  <c r="F25" i="8"/>
  <c r="E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G18" i="8"/>
  <c r="F18" i="8"/>
  <c r="E18" i="8"/>
  <c r="G17" i="8"/>
  <c r="F17" i="8"/>
  <c r="E17" i="8"/>
  <c r="G16" i="8"/>
  <c r="F16" i="8"/>
  <c r="E16" i="8"/>
  <c r="G15" i="8"/>
  <c r="F15" i="8"/>
  <c r="E15" i="8"/>
  <c r="G14" i="8"/>
  <c r="F14" i="8"/>
  <c r="E14" i="8"/>
  <c r="G13" i="8"/>
  <c r="F13" i="8"/>
  <c r="E13" i="8"/>
  <c r="G12" i="8"/>
  <c r="F12" i="8"/>
  <c r="E12" i="8"/>
  <c r="G11" i="8"/>
  <c r="F11" i="8"/>
  <c r="E11" i="8"/>
  <c r="G10" i="8"/>
  <c r="F10" i="8"/>
  <c r="E10" i="8"/>
  <c r="G9" i="8"/>
  <c r="F9" i="8"/>
  <c r="E9" i="8"/>
  <c r="G8" i="8"/>
  <c r="F8" i="8"/>
  <c r="E8" i="8"/>
  <c r="G7" i="8"/>
  <c r="F7" i="8"/>
  <c r="E7" i="8"/>
  <c r="G6" i="8"/>
  <c r="F6" i="8"/>
  <c r="E6" i="8"/>
  <c r="G5" i="8"/>
  <c r="F5" i="8"/>
  <c r="E5" i="8"/>
  <c r="G4" i="8"/>
  <c r="F4" i="8"/>
  <c r="E4" i="8"/>
  <c r="G3" i="8"/>
  <c r="F3" i="8"/>
  <c r="E3" i="8"/>
  <c r="G2" i="8"/>
  <c r="F2" i="8"/>
  <c r="E2" i="8"/>
  <c r="I61" i="7"/>
  <c r="H61" i="7"/>
  <c r="G61" i="7"/>
  <c r="F61" i="7"/>
  <c r="I60" i="7"/>
  <c r="H60" i="7"/>
  <c r="G60" i="7"/>
  <c r="F60" i="7"/>
  <c r="I59" i="7"/>
  <c r="H59" i="7"/>
  <c r="G59" i="7"/>
  <c r="F59" i="7"/>
  <c r="I58" i="7"/>
  <c r="H58" i="7"/>
  <c r="G58" i="7"/>
  <c r="F58" i="7"/>
  <c r="I57" i="7"/>
  <c r="H57" i="7"/>
  <c r="G57" i="7"/>
  <c r="F57" i="7"/>
  <c r="I56" i="7"/>
  <c r="H56" i="7"/>
  <c r="G56" i="7"/>
  <c r="F56" i="7"/>
  <c r="I55" i="7"/>
  <c r="H55" i="7"/>
  <c r="G55" i="7"/>
  <c r="F55" i="7"/>
  <c r="I54" i="7"/>
  <c r="H54" i="7"/>
  <c r="G54" i="7"/>
  <c r="F54" i="7"/>
  <c r="I53" i="7"/>
  <c r="H53" i="7"/>
  <c r="G53" i="7"/>
  <c r="F53" i="7"/>
  <c r="I52" i="7"/>
  <c r="H52" i="7"/>
  <c r="G52" i="7"/>
  <c r="F52" i="7"/>
  <c r="I51" i="7"/>
  <c r="H51" i="7"/>
  <c r="G51" i="7"/>
  <c r="F51" i="7"/>
  <c r="I50" i="7"/>
  <c r="H50" i="7"/>
  <c r="G50" i="7"/>
  <c r="F50" i="7"/>
  <c r="I49" i="7"/>
  <c r="H49" i="7"/>
  <c r="G49" i="7"/>
  <c r="F49" i="7"/>
  <c r="I48" i="7"/>
  <c r="H48" i="7"/>
  <c r="G48" i="7"/>
  <c r="F48" i="7"/>
  <c r="I47" i="7"/>
  <c r="H47" i="7"/>
  <c r="G47" i="7"/>
  <c r="F47" i="7"/>
  <c r="I46" i="7"/>
  <c r="H46" i="7"/>
  <c r="G46" i="7"/>
  <c r="F46" i="7"/>
  <c r="I45" i="7"/>
  <c r="H45" i="7"/>
  <c r="G45" i="7"/>
  <c r="F45" i="7"/>
  <c r="I44" i="7"/>
  <c r="H44" i="7"/>
  <c r="G44" i="7"/>
  <c r="F44" i="7"/>
  <c r="I43" i="7"/>
  <c r="H43" i="7"/>
  <c r="G43" i="7"/>
  <c r="F43" i="7"/>
  <c r="I42" i="7"/>
  <c r="H42" i="7"/>
  <c r="G42" i="7"/>
  <c r="F42" i="7"/>
  <c r="I41" i="7"/>
  <c r="H41" i="7"/>
  <c r="G41" i="7"/>
  <c r="F41" i="7"/>
  <c r="I40" i="7"/>
  <c r="H40" i="7"/>
  <c r="G40" i="7"/>
  <c r="F40" i="7"/>
  <c r="I39" i="7"/>
  <c r="H39" i="7"/>
  <c r="G39" i="7"/>
  <c r="F39" i="7"/>
  <c r="I38" i="7"/>
  <c r="H38" i="7"/>
  <c r="G38" i="7"/>
  <c r="F38" i="7"/>
  <c r="I37" i="7"/>
  <c r="H37" i="7"/>
  <c r="G37" i="7"/>
  <c r="F37" i="7"/>
  <c r="I36" i="7"/>
  <c r="H36" i="7"/>
  <c r="G36" i="7"/>
  <c r="F36" i="7"/>
  <c r="I35" i="7"/>
  <c r="H35" i="7"/>
  <c r="G35" i="7"/>
  <c r="F35" i="7"/>
  <c r="I34" i="7"/>
  <c r="H34" i="7"/>
  <c r="G34" i="7"/>
  <c r="F34" i="7"/>
  <c r="I33" i="7"/>
  <c r="H33" i="7"/>
  <c r="G33" i="7"/>
  <c r="F33" i="7"/>
  <c r="I32" i="7"/>
  <c r="H32" i="7"/>
  <c r="G32" i="7"/>
  <c r="F32" i="7"/>
  <c r="I31" i="7"/>
  <c r="H31" i="7"/>
  <c r="G31" i="7"/>
  <c r="F31" i="7"/>
  <c r="I30" i="7"/>
  <c r="H30" i="7"/>
  <c r="G30" i="7"/>
  <c r="F30" i="7"/>
  <c r="I29" i="7"/>
  <c r="H29" i="7"/>
  <c r="G29" i="7"/>
  <c r="F29" i="7"/>
  <c r="I28" i="7"/>
  <c r="H28" i="7"/>
  <c r="G28" i="7"/>
  <c r="F28" i="7"/>
  <c r="I27" i="7"/>
  <c r="H27" i="7"/>
  <c r="G27" i="7"/>
  <c r="F27" i="7"/>
  <c r="I26" i="7"/>
  <c r="H26" i="7"/>
  <c r="G26" i="7"/>
  <c r="F26" i="7"/>
  <c r="I25" i="7"/>
  <c r="H25" i="7"/>
  <c r="G25" i="7"/>
  <c r="F25" i="7"/>
  <c r="I24" i="7"/>
  <c r="H24" i="7"/>
  <c r="G24" i="7"/>
  <c r="F24" i="7"/>
  <c r="I23" i="7"/>
  <c r="H23" i="7"/>
  <c r="G23" i="7"/>
  <c r="F23" i="7"/>
  <c r="I22" i="7"/>
  <c r="H22" i="7"/>
  <c r="G22" i="7"/>
  <c r="F22" i="7"/>
  <c r="I21" i="7"/>
  <c r="H21" i="7"/>
  <c r="G21" i="7"/>
  <c r="F21" i="7"/>
  <c r="I20" i="7"/>
  <c r="H20" i="7"/>
  <c r="G20" i="7"/>
  <c r="F20" i="7"/>
  <c r="I19" i="7"/>
  <c r="H19" i="7"/>
  <c r="G19" i="7"/>
  <c r="F19" i="7"/>
  <c r="I18" i="7"/>
  <c r="H18" i="7"/>
  <c r="G18" i="7"/>
  <c r="F18" i="7"/>
  <c r="I17" i="7"/>
  <c r="H17" i="7"/>
  <c r="G17" i="7"/>
  <c r="F17" i="7"/>
  <c r="I16" i="7"/>
  <c r="H16" i="7"/>
  <c r="G16" i="7"/>
  <c r="F16" i="7"/>
  <c r="I15" i="7"/>
  <c r="H15" i="7"/>
  <c r="G15" i="7"/>
  <c r="F15" i="7"/>
  <c r="I14" i="7"/>
  <c r="H14" i="7"/>
  <c r="G14" i="7"/>
  <c r="F14" i="7"/>
  <c r="I13" i="7"/>
  <c r="H13" i="7"/>
  <c r="G13" i="7"/>
  <c r="F13" i="7"/>
  <c r="I12" i="7"/>
  <c r="H12" i="7"/>
  <c r="G12" i="7"/>
  <c r="F12" i="7"/>
  <c r="I11" i="7"/>
  <c r="H11" i="7"/>
  <c r="G11" i="7"/>
  <c r="F11" i="7"/>
  <c r="I10" i="7"/>
  <c r="H10" i="7"/>
  <c r="G10" i="7"/>
  <c r="F10" i="7"/>
  <c r="I9" i="7"/>
  <c r="H9" i="7"/>
  <c r="G9" i="7"/>
  <c r="F9" i="7"/>
  <c r="I8" i="7"/>
  <c r="H8" i="7"/>
  <c r="G8" i="7"/>
  <c r="F8" i="7"/>
  <c r="I7" i="7"/>
  <c r="H7" i="7"/>
  <c r="G7" i="7"/>
  <c r="F7" i="7"/>
  <c r="I6" i="7"/>
  <c r="H6" i="7"/>
  <c r="G6" i="7"/>
  <c r="F6" i="7"/>
  <c r="I5" i="7"/>
  <c r="H5" i="7"/>
  <c r="G5" i="7"/>
  <c r="F5" i="7"/>
  <c r="I4" i="7"/>
  <c r="H4" i="7"/>
  <c r="G4" i="7"/>
  <c r="F4" i="7"/>
  <c r="I3" i="7"/>
  <c r="H3" i="7"/>
  <c r="G3" i="7"/>
  <c r="F3" i="7"/>
  <c r="I2" i="7"/>
  <c r="H2" i="7"/>
  <c r="G2" i="7"/>
  <c r="F2" i="7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I61" i="5"/>
  <c r="H61" i="5"/>
  <c r="G61" i="5"/>
  <c r="F61" i="5"/>
  <c r="I60" i="5"/>
  <c r="H60" i="5"/>
  <c r="G60" i="5"/>
  <c r="F60" i="5"/>
  <c r="I59" i="5"/>
  <c r="H59" i="5"/>
  <c r="G59" i="5"/>
  <c r="F59" i="5"/>
  <c r="I58" i="5"/>
  <c r="H58" i="5"/>
  <c r="G58" i="5"/>
  <c r="F58" i="5"/>
  <c r="I57" i="5"/>
  <c r="H57" i="5"/>
  <c r="G57" i="5"/>
  <c r="F57" i="5"/>
  <c r="I56" i="5"/>
  <c r="H56" i="5"/>
  <c r="G56" i="5"/>
  <c r="F56" i="5"/>
  <c r="I55" i="5"/>
  <c r="H55" i="5"/>
  <c r="G55" i="5"/>
  <c r="F55" i="5"/>
  <c r="I54" i="5"/>
  <c r="H54" i="5"/>
  <c r="G54" i="5"/>
  <c r="F54" i="5"/>
  <c r="I53" i="5"/>
  <c r="H53" i="5"/>
  <c r="G53" i="5"/>
  <c r="F53" i="5"/>
  <c r="I52" i="5"/>
  <c r="H52" i="5"/>
  <c r="G52" i="5"/>
  <c r="F52" i="5"/>
  <c r="I51" i="5"/>
  <c r="H51" i="5"/>
  <c r="G51" i="5"/>
  <c r="F51" i="5"/>
  <c r="I50" i="5"/>
  <c r="H50" i="5"/>
  <c r="G50" i="5"/>
  <c r="F50" i="5"/>
  <c r="I49" i="5"/>
  <c r="H49" i="5"/>
  <c r="G49" i="5"/>
  <c r="F49" i="5"/>
  <c r="I48" i="5"/>
  <c r="H48" i="5"/>
  <c r="G48" i="5"/>
  <c r="F48" i="5"/>
  <c r="I47" i="5"/>
  <c r="H47" i="5"/>
  <c r="G47" i="5"/>
  <c r="F47" i="5"/>
  <c r="I46" i="5"/>
  <c r="H46" i="5"/>
  <c r="G46" i="5"/>
  <c r="F46" i="5"/>
  <c r="I45" i="5"/>
  <c r="H45" i="5"/>
  <c r="G45" i="5"/>
  <c r="F45" i="5"/>
  <c r="I44" i="5"/>
  <c r="H44" i="5"/>
  <c r="G44" i="5"/>
  <c r="F44" i="5"/>
  <c r="I43" i="5"/>
  <c r="H43" i="5"/>
  <c r="G43" i="5"/>
  <c r="F43" i="5"/>
  <c r="I42" i="5"/>
  <c r="H42" i="5"/>
  <c r="G42" i="5"/>
  <c r="F42" i="5"/>
  <c r="I41" i="5"/>
  <c r="H41" i="5"/>
  <c r="G41" i="5"/>
  <c r="F41" i="5"/>
  <c r="I40" i="5"/>
  <c r="H40" i="5"/>
  <c r="G40" i="5"/>
  <c r="F40" i="5"/>
  <c r="I39" i="5"/>
  <c r="H39" i="5"/>
  <c r="G39" i="5"/>
  <c r="F39" i="5"/>
  <c r="I38" i="5"/>
  <c r="H38" i="5"/>
  <c r="G38" i="5"/>
  <c r="F38" i="5"/>
  <c r="I37" i="5"/>
  <c r="H37" i="5"/>
  <c r="G37" i="5"/>
  <c r="F37" i="5"/>
  <c r="I36" i="5"/>
  <c r="H36" i="5"/>
  <c r="G36" i="5"/>
  <c r="F36" i="5"/>
  <c r="I35" i="5"/>
  <c r="H35" i="5"/>
  <c r="G35" i="5"/>
  <c r="F35" i="5"/>
  <c r="I34" i="5"/>
  <c r="H34" i="5"/>
  <c r="G34" i="5"/>
  <c r="F34" i="5"/>
  <c r="I33" i="5"/>
  <c r="H33" i="5"/>
  <c r="G33" i="5"/>
  <c r="F33" i="5"/>
  <c r="I32" i="5"/>
  <c r="H32" i="5"/>
  <c r="G32" i="5"/>
  <c r="F32" i="5"/>
  <c r="I31" i="5"/>
  <c r="H31" i="5"/>
  <c r="G31" i="5"/>
  <c r="F31" i="5"/>
  <c r="I30" i="5"/>
  <c r="H30" i="5"/>
  <c r="G30" i="5"/>
  <c r="F30" i="5"/>
  <c r="I29" i="5"/>
  <c r="H29" i="5"/>
  <c r="G29" i="5"/>
  <c r="F29" i="5"/>
  <c r="I28" i="5"/>
  <c r="H28" i="5"/>
  <c r="G28" i="5"/>
  <c r="F28" i="5"/>
  <c r="I27" i="5"/>
  <c r="H27" i="5"/>
  <c r="G27" i="5"/>
  <c r="F27" i="5"/>
  <c r="I26" i="5"/>
  <c r="H26" i="5"/>
  <c r="G26" i="5"/>
  <c r="F26" i="5"/>
  <c r="I25" i="5"/>
  <c r="H25" i="5"/>
  <c r="G25" i="5"/>
  <c r="F25" i="5"/>
  <c r="I24" i="5"/>
  <c r="H24" i="5"/>
  <c r="G24" i="5"/>
  <c r="F24" i="5"/>
  <c r="I23" i="5"/>
  <c r="H23" i="5"/>
  <c r="G23" i="5"/>
  <c r="F23" i="5"/>
  <c r="I22" i="5"/>
  <c r="H22" i="5"/>
  <c r="G22" i="5"/>
  <c r="F22" i="5"/>
  <c r="I21" i="5"/>
  <c r="H21" i="5"/>
  <c r="G21" i="5"/>
  <c r="F21" i="5"/>
  <c r="I20" i="5"/>
  <c r="H20" i="5"/>
  <c r="G20" i="5"/>
  <c r="F20" i="5"/>
  <c r="I19" i="5"/>
  <c r="H19" i="5"/>
  <c r="G19" i="5"/>
  <c r="F19" i="5"/>
  <c r="I18" i="5"/>
  <c r="H18" i="5"/>
  <c r="G18" i="5"/>
  <c r="F18" i="5"/>
  <c r="I17" i="5"/>
  <c r="H17" i="5"/>
  <c r="G17" i="5"/>
  <c r="F17" i="5"/>
  <c r="I16" i="5"/>
  <c r="H16" i="5"/>
  <c r="G16" i="5"/>
  <c r="F16" i="5"/>
  <c r="I15" i="5"/>
  <c r="H15" i="5"/>
  <c r="G15" i="5"/>
  <c r="F15" i="5"/>
  <c r="I14" i="5"/>
  <c r="H14" i="5"/>
  <c r="G14" i="5"/>
  <c r="F14" i="5"/>
  <c r="I13" i="5"/>
  <c r="H13" i="5"/>
  <c r="G13" i="5"/>
  <c r="F13" i="5"/>
  <c r="I12" i="5"/>
  <c r="H12" i="5"/>
  <c r="G12" i="5"/>
  <c r="F12" i="5"/>
  <c r="I11" i="5"/>
  <c r="H11" i="5"/>
  <c r="G11" i="5"/>
  <c r="F11" i="5"/>
  <c r="I10" i="5"/>
  <c r="H10" i="5"/>
  <c r="G10" i="5"/>
  <c r="F10" i="5"/>
  <c r="I9" i="5"/>
  <c r="H9" i="5"/>
  <c r="G9" i="5"/>
  <c r="F9" i="5"/>
  <c r="I8" i="5"/>
  <c r="H8" i="5"/>
  <c r="G8" i="5"/>
  <c r="F8" i="5"/>
  <c r="I7" i="5"/>
  <c r="H7" i="5"/>
  <c r="G7" i="5"/>
  <c r="F7" i="5"/>
  <c r="I6" i="5"/>
  <c r="H6" i="5"/>
  <c r="G6" i="5"/>
  <c r="F6" i="5"/>
  <c r="I5" i="5"/>
  <c r="H5" i="5"/>
  <c r="G5" i="5"/>
  <c r="F5" i="5"/>
  <c r="I4" i="5"/>
  <c r="H4" i="5"/>
  <c r="G4" i="5"/>
  <c r="F4" i="5"/>
  <c r="I3" i="5"/>
  <c r="H3" i="5"/>
  <c r="G3" i="5"/>
  <c r="F3" i="5"/>
  <c r="I2" i="5"/>
  <c r="H2" i="5"/>
  <c r="G2" i="5"/>
  <c r="F2" i="5"/>
  <c r="G61" i="4"/>
  <c r="F61" i="4"/>
  <c r="E61" i="4"/>
  <c r="G60" i="4"/>
  <c r="F60" i="4"/>
  <c r="E60" i="4"/>
  <c r="G59" i="4"/>
  <c r="F59" i="4"/>
  <c r="E59" i="4"/>
  <c r="G58" i="4"/>
  <c r="F58" i="4"/>
  <c r="E58" i="4"/>
  <c r="G57" i="4"/>
  <c r="F57" i="4"/>
  <c r="E57" i="4"/>
  <c r="G56" i="4"/>
  <c r="F56" i="4"/>
  <c r="E56" i="4"/>
  <c r="G55" i="4"/>
  <c r="F55" i="4"/>
  <c r="E55" i="4"/>
  <c r="G54" i="4"/>
  <c r="F54" i="4"/>
  <c r="E54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G3" i="4"/>
  <c r="F3" i="4"/>
  <c r="E3" i="4"/>
  <c r="G2" i="4"/>
  <c r="F2" i="4"/>
  <c r="E2" i="4"/>
  <c r="G61" i="3"/>
  <c r="F61" i="3"/>
  <c r="E61" i="3"/>
  <c r="G60" i="3"/>
  <c r="F60" i="3"/>
  <c r="E60" i="3"/>
  <c r="G59" i="3"/>
  <c r="F59" i="3"/>
  <c r="E59" i="3"/>
  <c r="G58" i="3"/>
  <c r="F58" i="3"/>
  <c r="E58" i="3"/>
  <c r="G57" i="3"/>
  <c r="F57" i="3"/>
  <c r="E57" i="3"/>
  <c r="G56" i="3"/>
  <c r="F56" i="3"/>
  <c r="E56" i="3"/>
  <c r="G55" i="3"/>
  <c r="F55" i="3"/>
  <c r="E55" i="3"/>
  <c r="G54" i="3"/>
  <c r="F54" i="3"/>
  <c r="E54" i="3"/>
  <c r="G53" i="3"/>
  <c r="F53" i="3"/>
  <c r="E53" i="3"/>
  <c r="G52" i="3"/>
  <c r="F52" i="3"/>
  <c r="E52" i="3"/>
  <c r="G51" i="3"/>
  <c r="F51" i="3"/>
  <c r="E51" i="3"/>
  <c r="G50" i="3"/>
  <c r="F50" i="3"/>
  <c r="E50" i="3"/>
  <c r="G49" i="3"/>
  <c r="F49" i="3"/>
  <c r="E49" i="3"/>
  <c r="G48" i="3"/>
  <c r="F48" i="3"/>
  <c r="E48" i="3"/>
  <c r="G47" i="3"/>
  <c r="F47" i="3"/>
  <c r="E47" i="3"/>
  <c r="G46" i="3"/>
  <c r="F46" i="3"/>
  <c r="E46" i="3"/>
  <c r="G45" i="3"/>
  <c r="F45" i="3"/>
  <c r="E45" i="3"/>
  <c r="G44" i="3"/>
  <c r="F44" i="3"/>
  <c r="E44" i="3"/>
  <c r="G43" i="3"/>
  <c r="F43" i="3"/>
  <c r="E43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  <c r="E3" i="3"/>
  <c r="G2" i="3"/>
  <c r="F2" i="3"/>
  <c r="E2" i="3"/>
</calcChain>
</file>

<file path=xl/comments1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teachingModalityTypeId
Máximo de 20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educationLevelTypeId
Máximo de 20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3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subjectCategoryTypeId
Máximo de 20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4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5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cnpj
Máximo de 14 caracteres
Opcional</t>
        </r>
      </text>
    </comment>
    <comment ref="D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6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7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enrollmentStatusTypeId
Máximo de 15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8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enrollmentClassSubjectStatusTypeId
Máximo de 15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9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0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roleType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1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2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socialName
Máximo de 150 caracteres
Opcional</t>
        </r>
      </text>
    </comment>
    <comment ref="C1" authorId="0" shapeId="0">
      <text>
        <r>
          <rPr>
            <sz val="10"/>
            <rFont val="Arial"/>
            <family val="2"/>
          </rPr>
          <t>Campo técnico: identityDocument
Máximo de 20 caracteres
Opcional</t>
        </r>
      </text>
    </comment>
    <comment ref="D1" authorId="0" shapeId="0">
      <text>
        <r>
          <rPr>
            <sz val="10"/>
            <rFont val="Arial"/>
            <family val="2"/>
          </rPr>
          <t>Campo técnico: identityDocumentTypeId
Máximo de 10 caracteres
Opcional</t>
        </r>
      </text>
    </comment>
    <comment ref="E1" authorId="0" shapeId="0">
      <text>
        <r>
          <rPr>
            <sz val="10"/>
            <rFont val="Arial"/>
            <family val="2"/>
          </rPr>
          <t>Campo técnico: passportNumber
Máximo de 20 caracteres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G1" authorId="0" shapeId="0">
      <text>
        <r>
          <rPr>
            <sz val="10"/>
            <rFont val="Arial"/>
            <family val="2"/>
          </rPr>
          <t>Campo técnico: address.zipCode
Máximo de 10 caracteres
Opcional
Somente números</t>
        </r>
      </text>
    </comment>
    <comment ref="H1" authorId="0" shapeId="0">
      <text>
        <r>
          <rPr>
            <sz val="10"/>
            <rFont val="Arial"/>
            <family val="2"/>
          </rPr>
          <t>Campo técnico: address.state
Máximo de 255 caracteres
Opcional</t>
        </r>
      </text>
    </comment>
    <comment ref="I1" authorId="0" shapeId="0">
      <text>
        <r>
          <rPr>
            <sz val="10"/>
            <rFont val="Arial"/>
            <family val="2"/>
          </rPr>
          <t>Campo técnico: address.city
Máximo de 255 caracteres
Opcional</t>
        </r>
      </text>
    </comment>
    <comment ref="J1" authorId="0" shapeId="0">
      <text>
        <r>
          <rPr>
            <sz val="10"/>
            <rFont val="Arial"/>
            <family val="2"/>
          </rPr>
          <t>Campo técnico: address.address
Máximo de 255 caracteres
Opcional</t>
        </r>
      </text>
    </comment>
    <comment ref="K1" authorId="0" shapeId="0">
      <text>
        <r>
          <rPr>
            <sz val="10"/>
            <rFont val="Arial"/>
            <family val="2"/>
          </rPr>
          <t>Campo técnico: address.number
Máximo de 20 caracteres
Opcional</t>
        </r>
      </text>
    </comment>
    <comment ref="L1" authorId="0" shapeId="0">
      <text>
        <r>
          <rPr>
            <sz val="10"/>
            <rFont val="Arial"/>
            <family val="2"/>
          </rPr>
          <t>Campo técnico: address.neighborhood
Máximo de 100 caracteres
Opcional</t>
        </r>
      </text>
    </comment>
    <comment ref="M1" authorId="0" shapeId="0">
      <text>
        <r>
          <rPr>
            <sz val="10"/>
            <rFont val="Arial"/>
            <family val="2"/>
          </rPr>
          <t>Campo técnico: address.complement
Máximo de 100 caracteres
Opcional</t>
        </r>
      </text>
    </comment>
    <comment ref="N1" authorId="0" shapeId="0">
      <text>
        <r>
          <rPr>
            <sz val="10"/>
            <rFont val="Arial"/>
            <family val="2"/>
          </rPr>
          <t>Campo técnico: user.email
Máximo de 150 caracteres
Obrigatório</t>
        </r>
      </text>
    </comment>
    <comment ref="O1" authorId="0" shapeId="0">
      <text>
        <r>
          <rPr>
            <sz val="10"/>
            <rFont val="Arial"/>
            <family val="2"/>
          </rPr>
          <t>Campo técnico: user.username
Máximo de 100 caracteres
Obrigatório</t>
        </r>
      </text>
    </comment>
    <comment ref="P1" authorId="0" shapeId="0">
      <text>
        <r>
          <rPr>
            <sz val="10"/>
            <rFont val="Arial"/>
            <family val="2"/>
          </rPr>
          <t>Campo técnico: user.password
Máximo de 150 caracteres
Obrigatório</t>
        </r>
      </text>
    </comment>
    <comment ref="Q1" authorId="0" shapeId="0">
      <text>
        <r>
          <rPr>
            <sz val="10"/>
            <rFont val="Arial"/>
            <family val="2"/>
          </rPr>
          <t>Campo técnico: tags
Opcional
Separe por vírgula</t>
        </r>
      </text>
    </comment>
    <comment ref="R1" authorId="0" shapeId="0">
      <text>
        <r>
          <rPr>
            <sz val="10"/>
            <rFont val="Arial"/>
            <family val="2"/>
          </rPr>
          <t>Campo técnico: isActive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3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externalTeachingModalityId
Máximo de 50 caracteres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externalEducationLevelId
Máximo de 50 caracteres
Obrigatório</t>
        </r>
      </text>
    </comment>
    <comment ref="F1" authorId="0" shapeId="0">
      <text>
        <r>
          <rPr>
            <sz val="10"/>
            <rFont val="Arial"/>
            <family val="2"/>
          </rPr>
          <t>Campo técnico: courseTypeId
Máximo de 15 caracteres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4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200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workload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externalSubjectCategoryId
Máximo de 50 caracteres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5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isTemporal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startDate
Opcional</t>
        </r>
      </text>
    </comment>
    <comment ref="E1" authorId="0" shapeId="0">
      <text>
        <r>
          <rPr>
            <sz val="10"/>
            <rFont val="Arial"/>
            <family val="2"/>
          </rPr>
          <t>Campo técnico: endDate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G1" authorId="0" shapeId="0">
      <text>
        <r>
          <rPr>
            <sz val="10"/>
            <rFont val="Arial"/>
            <family val="2"/>
          </rPr>
          <t>Campo técnico: externalTeachingModalityId
Máximo de 50 caracteres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6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externalCourseId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name
Máximo de 150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workload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startDate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endDate
Opcional</t>
        </r>
      </text>
    </comment>
    <comment ref="G1" authorId="0" shapeId="0">
      <text>
        <r>
          <rPr>
            <sz val="10"/>
            <rFont val="Arial"/>
            <family val="2"/>
          </rPr>
          <t>Campo técnico: isActive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7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externalCourseId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externalCurriculumId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externalSubjectId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subjectTypeId
Máximo de 15 caracteres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group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subgroup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8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externalClassId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externalSubjectId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externalCurriculumId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externalCourseId
Máximo de 50 caracteres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externalPeriodId
Máximo de 50 caracteres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externalShiftId
Máximo de 50 caracteres
Opcional</t>
        </r>
      </text>
    </comment>
    <comment ref="G1" authorId="0" shapeId="0">
      <text>
        <r>
          <rPr>
            <sz val="10"/>
            <rFont val="Arial"/>
            <family val="2"/>
          </rPr>
          <t>Campo técnico: startDate
Opcional</t>
        </r>
      </text>
    </comment>
    <comment ref="H1" authorId="0" shapeId="0">
      <text>
        <r>
          <rPr>
            <sz val="10"/>
            <rFont val="Arial"/>
            <family val="2"/>
          </rPr>
          <t>Campo técnico: endDate
Opcional</t>
        </r>
      </text>
    </comment>
    <comment ref="I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J1" authorId="0" shapeId="0">
      <text>
        <r>
          <rPr>
            <sz val="10"/>
            <rFont val="Arial"/>
            <family val="2"/>
          </rPr>
          <t>Campo técnico: isActive
Opcional</t>
        </r>
      </text>
    </comment>
    <comment ref="K1" authorId="0" shapeId="0">
      <text>
        <r>
          <rPr>
            <sz val="10"/>
            <rFont val="Arial"/>
            <family val="2"/>
          </rPr>
          <t>Campo técnico: isManagerial
Opcional</t>
        </r>
      </text>
    </comment>
    <comment ref="L1" authorId="0" shapeId="0">
      <text>
        <r>
          <rPr>
            <sz val="10"/>
            <rFont val="Arial"/>
            <family val="2"/>
          </rPr>
          <t>Campo técnico: parentExternalClassSubjectId
Máximo de 50 caracteres
Opcional</t>
        </r>
      </text>
    </comment>
    <comment ref="M1" authorId="0" shapeId="0">
      <text>
        <r>
          <rPr>
            <sz val="10"/>
            <rFont val="Arial"/>
            <family val="2"/>
          </rPr>
          <t>Campo técnico: managementType
Máximo de 255 caracteres
Opcional</t>
        </r>
      </text>
    </comment>
    <comment ref="N1" authorId="0" shapeId="0">
      <text>
        <r>
          <rPr>
            <sz val="10"/>
            <rFont val="Arial"/>
            <family val="2"/>
          </rPr>
          <t>Campo técnico: ext.gpa.shouldIntegrate
Opcional
Obrigatório se 'Integra com GPA?' = Sim na aba Parâmetros</t>
        </r>
      </text>
    </comment>
    <comment ref="O1" authorId="0" shapeId="0">
      <text>
        <r>
          <rPr>
            <sz val="10"/>
            <rFont val="Arial"/>
            <family val="2"/>
          </rPr>
          <t>Campo técnico: ext.npj.shouldIntegrate
Opcional
Obrigatório se 'Integra com NPJ?' = Sim na aba Parâmetros</t>
        </r>
      </text>
    </comment>
    <comment ref="P1" authorId="0" shapeId="0">
      <text>
        <r>
          <rPr>
            <sz val="10"/>
            <rFont val="Arial"/>
            <family val="2"/>
          </rPr>
          <t>Campo técnico: ext.lxp.isCommunity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9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externalPersonId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0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externalPersonId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1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externalCourseId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externalCoordinatorId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startDate
Opcional</t>
        </r>
      </text>
    </comment>
    <comment ref="D1" authorId="0" shapeId="0">
      <text>
        <r>
          <rPr>
            <sz val="10"/>
            <rFont val="Arial"/>
            <family val="2"/>
          </rPr>
          <t>Campo técnico: endDate
Opcional</t>
        </r>
      </text>
    </comment>
    <comment ref="E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2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externalClassSubjectId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externalPersonId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externalClassSubjectRoleId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startDate
Opcional</t>
        </r>
      </text>
    </comment>
    <comment ref="E1" authorId="0" shapeId="0">
      <text>
        <r>
          <rPr>
            <sz val="10"/>
            <rFont val="Arial"/>
            <family val="2"/>
          </rPr>
          <t>Campo técnico: endDate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3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externalCourseId
Máximo de 50 caracteres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allocatedSlots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4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externalStudentId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externalCourseId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externalCurriculumId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externalPeriodId
Máximo de 50 caracteres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externalCampusId
Máximo de 50 caracteres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externalEnrollmentStatusId
Máximo de 50 caracteres
Obrigatório</t>
        </r>
      </text>
    </comment>
    <comment ref="G1" authorId="0" shapeId="0">
      <text>
        <r>
          <rPr>
            <sz val="10"/>
            <rFont val="Arial"/>
            <family val="2"/>
          </rPr>
          <t>Campo técnico: academicRecord
Máximo de 100 caracteres
Obrigatório</t>
        </r>
      </text>
    </comment>
    <comment ref="H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I1" authorId="0" shapeId="0">
      <text>
        <r>
          <rPr>
            <sz val="10"/>
            <rFont val="Arial"/>
            <family val="2"/>
          </rPr>
          <t>Campo técnico: currentGroup
Opcional</t>
        </r>
      </text>
    </comment>
    <comment ref="J1" authorId="0" shapeId="0">
      <text>
        <r>
          <rPr>
            <sz val="10"/>
            <rFont val="Arial"/>
            <family val="2"/>
          </rPr>
          <t>Campo técnico: externalShiftId
Máximo de 50 caracteres
Opcional</t>
        </r>
      </text>
    </comment>
    <comment ref="K1" authorId="0" shapeId="0">
      <text>
        <r>
          <rPr>
            <sz val="10"/>
            <rFont val="Arial"/>
            <family val="2"/>
          </rPr>
          <t>Campo técnico: externalEnrollmentGroupId
Máximo de 50 caracteres
Opcional</t>
        </r>
      </text>
    </comment>
    <comment ref="L1" authorId="0" shapeId="0">
      <text>
        <r>
          <rPr>
            <sz val="10"/>
            <rFont val="Arial"/>
            <family val="2"/>
          </rPr>
          <t>Campo técnico: externalEducationalHubId
Máximo de 50 caracteres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5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externalEnrollmentId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externalPeriodId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externalEnrollmentStatusId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externalEnrollmentGroupId
Máximo de 50 caracteres
Opcional</t>
        </r>
      </text>
    </comment>
    <comment ref="E1" authorId="0" shapeId="0">
      <text>
        <r>
          <rPr>
            <sz val="10"/>
            <rFont val="Arial"/>
            <family val="2"/>
          </rPr>
          <t>Campo técnico: currentGroup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6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externalEnrollmentId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externalClassSubjectId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externalCurriculumId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externalPeriodId
Máximo de 50 caracteres
Opcional</t>
        </r>
      </text>
    </comment>
    <comment ref="E1" authorId="0" shapeId="0">
      <text>
        <r>
          <rPr>
            <sz val="10"/>
            <rFont val="Arial"/>
            <family val="2"/>
          </rPr>
          <t>Campo técnico: startDate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endDate
Opcional</t>
        </r>
      </text>
    </comment>
    <comment ref="G1" authorId="0" shapeId="0">
      <text>
        <r>
          <rPr>
            <sz val="10"/>
            <rFont val="Arial"/>
            <family val="2"/>
          </rPr>
          <t>Campo técnico: externalEnrollmentClassSubjectStatusId
Máximo de 50 caracteres
Obrigatório</t>
        </r>
      </text>
    </comment>
    <comment ref="H1" authorId="0" shapeId="0">
      <text>
        <r>
          <rPr>
            <sz val="10"/>
            <rFont val="Arial"/>
            <family val="2"/>
          </rPr>
          <t>Campo técnico: externalEnrollmentTypeId
Máximo de 50 caracteres
Opcional</t>
        </r>
      </text>
    </comment>
    <comment ref="I1" authorId="0" shapeId="0">
      <text>
        <r>
          <rPr>
            <sz val="10"/>
            <rFont val="Arial"/>
            <family val="2"/>
          </rPr>
          <t>Campo técnico: ext.info.tags
Máximo de 50 caracteres
Opcional
Separe por vírgula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7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name
Máximo de 255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externalClassSubjectId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8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name
Máximo de 255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externalGroupSetId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9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externalPersonId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externalGroupId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30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entity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oldExternalId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newExternalId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sharedStrings.xml><?xml version="1.0" encoding="utf-8"?>
<sst xmlns="http://schemas.openxmlformats.org/spreadsheetml/2006/main" count="641" uniqueCount="370">
  <si>
    <t>Planilha Mestre de Importação</t>
  </si>
  <si>
    <t>Use como base para o script de ETL de carga do sistema principal.</t>
  </si>
  <si>
    <t>COMO USAR</t>
  </si>
  <si>
    <t>1. Preencha as abas na ordem em que aparecem (o número no nome da aba é a ordem de carga).</t>
  </si>
  <si>
    <t>2. Cada aba tem uma linha de exemplo (fundo amarelo, itálico) na linha 2 — apague-a ou sobrescreva-a.</t>
  </si>
  <si>
    <t>3. Campos com * no cabeçalho são obrigatórios. Uma célula obrigatória vazia em uma linha já iniciada fica destacada em vermelho.</t>
  </si>
  <si>
    <t>4. Sempre que possível, preencha usando os menus suspensos (setas nas células) — eles evitam erros de digitação.</t>
  </si>
  <si>
    <t>5. Campos que fazem referência a outro cadastro (ex.: Curso de um Currículo) mostram uma lista com o NOME já cadastrado na aba correspondente — não digite códigos manualmente.</t>
  </si>
  <si>
    <t>6. Não edite as colunas cinzas ocultas à direita de cada tabela — elas calculam automaticamente o valor técnico que o sistema espera, a partir do que você preencheu. Seu script de ETL deve ler apenas essas colunas (o cabeçalho de cada uma já é o nome técnico exigido pela documentação de importação).</t>
  </si>
  <si>
    <t>7. A aba 'Parâmetros' guarda configurações da unidade (sigla, uso de GPA/NPJ) usadas como referência ao preencher outras abas.</t>
  </si>
  <si>
    <t>8. Blocos 5 (Subgrupos) e 6 (Manutenção) são opcionais / usados depois da carga inicial — só preencha se precisar.</t>
  </si>
  <si>
    <t>ORDEM DOS BLOCOS (é também a ordem que o script deve processar)</t>
  </si>
  <si>
    <t>0 · Preparação — parâmetros da unidade</t>
  </si>
  <si>
    <t>1 · Catálogos base — cadastros simples e independentes</t>
  </si>
  <si>
    <t>2 · Oferta acadêmica — cursos, currículos, disciplinas, turmas/disciplinas</t>
  </si>
  <si>
    <t>3 · Pessoas e papéis — coordenadores, estudantes, atribuições em turma/disciplina</t>
  </si>
  <si>
    <t>4 · Matrículas — matrícula, matrícula no período, enturmação</t>
  </si>
  <si>
    <t>5 · Subgrupos (opcional) — conjuntos de grupos e grupos</t>
  </si>
  <si>
    <t>6 · Manutenção — alteração de código externo (usar após a carga inicial)</t>
  </si>
  <si>
    <t>LEGENDA DE CORES DAS ABAS</t>
  </si>
  <si>
    <t>Azul — Catálogos base   |   Verde — Oferta acadêmica   |   Laranja — Pessoas e papéis</t>
  </si>
  <si>
    <t>Roxo — Matrículas   |   Cinza — Subgrupos (opcional)   |   Vermelho — Manutenção</t>
  </si>
  <si>
    <t>Parâmetro</t>
  </si>
  <si>
    <t>Valor</t>
  </si>
  <si>
    <t>Observação</t>
  </si>
  <si>
    <t>Sigla da Unidade</t>
  </si>
  <si>
    <t>Nome da Unidade</t>
  </si>
  <si>
    <t>Campus Nova Iguaçu</t>
  </si>
  <si>
    <t>Integra com GPA?</t>
  </si>
  <si>
    <t>Não</t>
  </si>
  <si>
    <t>Integra com NPJ?</t>
  </si>
  <si>
    <t>Nome *</t>
  </si>
  <si>
    <t>Código *</t>
  </si>
  <si>
    <t>Tipo de Modalidade *</t>
  </si>
  <si>
    <t>name</t>
  </si>
  <si>
    <t>externalId</t>
  </si>
  <si>
    <t>teachingModalityTypeId</t>
  </si>
  <si>
    <t>Presencial</t>
  </si>
  <si>
    <t>MOD-001</t>
  </si>
  <si>
    <t>Tipo de Nível *</t>
  </si>
  <si>
    <t>educationLevelTypeId</t>
  </si>
  <si>
    <t>Graduação</t>
  </si>
  <si>
    <t>LEV-001</t>
  </si>
  <si>
    <t>Tipo de Categoria *</t>
  </si>
  <si>
    <t>Ativa? *</t>
  </si>
  <si>
    <t>subjectCategoryTypeId</t>
  </si>
  <si>
    <t>isActive</t>
  </si>
  <si>
    <t>Disciplina Normal</t>
  </si>
  <si>
    <t>CAT-001</t>
  </si>
  <si>
    <t>Sim</t>
  </si>
  <si>
    <t>Manhã</t>
  </si>
  <si>
    <t>TUR-001</t>
  </si>
  <si>
    <t>CNPJ</t>
  </si>
  <si>
    <t>Ativo? *</t>
  </si>
  <si>
    <t>cnpj</t>
  </si>
  <si>
    <t>CAMP-001</t>
  </si>
  <si>
    <t>12345678000199</t>
  </si>
  <si>
    <t>Polo Nova Iguaçu</t>
  </si>
  <si>
    <t>POL-001</t>
  </si>
  <si>
    <t>Tipo *</t>
  </si>
  <si>
    <t>enrollmentStatusTypeId</t>
  </si>
  <si>
    <t>Ativo</t>
  </si>
  <si>
    <t>STATUS-001</t>
  </si>
  <si>
    <t>enrollmentClassSubjectStatusTypeId</t>
  </si>
  <si>
    <t>STATUSENT-001</t>
  </si>
  <si>
    <t>Regular</t>
  </si>
  <si>
    <t>TYPE-001</t>
  </si>
  <si>
    <t>roleType</t>
  </si>
  <si>
    <t>Professor</t>
  </si>
  <si>
    <t>ROLE-001</t>
  </si>
  <si>
    <t>Turma A</t>
  </si>
  <si>
    <t>TURMA-001</t>
  </si>
  <si>
    <t>Nome Completo *</t>
  </si>
  <si>
    <t>Nome Social</t>
  </si>
  <si>
    <t>Documento</t>
  </si>
  <si>
    <t>Tipo de Documento</t>
  </si>
  <si>
    <t>Passaporte</t>
  </si>
  <si>
    <t>CEP</t>
  </si>
  <si>
    <t>Estado</t>
  </si>
  <si>
    <t>Cidade</t>
  </si>
  <si>
    <t>Endereço</t>
  </si>
  <si>
    <t>Número</t>
  </si>
  <si>
    <t>Bairro</t>
  </si>
  <si>
    <t>Complemento</t>
  </si>
  <si>
    <t>E-mail de Acesso *</t>
  </si>
  <si>
    <t>Login *</t>
  </si>
  <si>
    <t>Senha *</t>
  </si>
  <si>
    <t>Tags</t>
  </si>
  <si>
    <t>Ativa?</t>
  </si>
  <si>
    <t>socialName</t>
  </si>
  <si>
    <t>identityDocument</t>
  </si>
  <si>
    <t>identityDocumentTypeId</t>
  </si>
  <si>
    <t>passportNumber</t>
  </si>
  <si>
    <t>address.zipCode</t>
  </si>
  <si>
    <t>address.state</t>
  </si>
  <si>
    <t>address.city</t>
  </si>
  <si>
    <t>address.address</t>
  </si>
  <si>
    <t>address.number</t>
  </si>
  <si>
    <t>address.neighborhood</t>
  </si>
  <si>
    <t>address.complement</t>
  </si>
  <si>
    <t>user.email</t>
  </si>
  <si>
    <t>user.username</t>
  </si>
  <si>
    <t>user.password</t>
  </si>
  <si>
    <t>tags</t>
  </si>
  <si>
    <t>João da Silva</t>
  </si>
  <si>
    <t>12345678900</t>
  </si>
  <si>
    <t>CPF</t>
  </si>
  <si>
    <t>PES-001</t>
  </si>
  <si>
    <t>26000000</t>
  </si>
  <si>
    <t>RJ</t>
  </si>
  <si>
    <t>Nova Iguaçu</t>
  </si>
  <si>
    <t>Rua Exemplo</t>
  </si>
  <si>
    <t>100</t>
  </si>
  <si>
    <t>Centro</t>
  </si>
  <si>
    <t>joao@email.com</t>
  </si>
  <si>
    <t>joao.silva</t>
  </si>
  <si>
    <t>Senha@123</t>
  </si>
  <si>
    <t>aluno,graduacao</t>
  </si>
  <si>
    <t>Modalidade de Ensino *</t>
  </si>
  <si>
    <t>Nível de Ensino *</t>
  </si>
  <si>
    <t>Tipo de Curso</t>
  </si>
  <si>
    <t>externalTeachingModalityId</t>
  </si>
  <si>
    <t>externalEducationLevelId</t>
  </si>
  <si>
    <t>courseTypeId</t>
  </si>
  <si>
    <t>Administração</t>
  </si>
  <si>
    <t>CUR-001</t>
  </si>
  <si>
    <t>Bacharelado</t>
  </si>
  <si>
    <t>Carga Horária *</t>
  </si>
  <si>
    <t>Categoria da Disciplina</t>
  </si>
  <si>
    <t>workload</t>
  </si>
  <si>
    <t>externalSubjectCategoryId</t>
  </si>
  <si>
    <t>Programação Orientada a Objetos</t>
  </si>
  <si>
    <t>DISC-001</t>
  </si>
  <si>
    <t>Possui Datas Delimitadas? *</t>
  </si>
  <si>
    <t>Data Início</t>
  </si>
  <si>
    <t>Data Fim</t>
  </si>
  <si>
    <t>Modalidade de Ensino</t>
  </si>
  <si>
    <t>isTemporal</t>
  </si>
  <si>
    <t>startDate</t>
  </si>
  <si>
    <t>endDate</t>
  </si>
  <si>
    <t>2026.1</t>
  </si>
  <si>
    <t>PER-001</t>
  </si>
  <si>
    <t>2026-01-01</t>
  </si>
  <si>
    <t>2026-06-30</t>
  </si>
  <si>
    <t>Curso *</t>
  </si>
  <si>
    <t>Vigência Início</t>
  </si>
  <si>
    <t>Vigência Fim</t>
  </si>
  <si>
    <t>Ativo?</t>
  </si>
  <si>
    <t>externalCourseId</t>
  </si>
  <si>
    <t>Currículo Administração</t>
  </si>
  <si>
    <t>CR-001</t>
  </si>
  <si>
    <t>Currículo *</t>
  </si>
  <si>
    <t>Disciplina *</t>
  </si>
  <si>
    <t>Tipo da Disciplina *</t>
  </si>
  <si>
    <t>Grupo</t>
  </si>
  <si>
    <t>Subgrupo</t>
  </si>
  <si>
    <t>externalCurriculumId</t>
  </si>
  <si>
    <t>externalSubjectId</t>
  </si>
  <si>
    <t>subjectTypeId</t>
  </si>
  <si>
    <t>group</t>
  </si>
  <si>
    <t>subgroup</t>
  </si>
  <si>
    <t>Obrigatória</t>
  </si>
  <si>
    <t>Turma *</t>
  </si>
  <si>
    <t>Período</t>
  </si>
  <si>
    <t>Turno</t>
  </si>
  <si>
    <t>É Gerencial?</t>
  </si>
  <si>
    <t>Turma/Disc. Gerencial Vinculada</t>
  </si>
  <si>
    <t>Tipo de Gerenciamento</t>
  </si>
  <si>
    <t>É Comunidade LXP?</t>
  </si>
  <si>
    <t>externalClassId</t>
  </si>
  <si>
    <t>externalPeriodId</t>
  </si>
  <si>
    <t>externalShiftId</t>
  </si>
  <si>
    <t>isManagerial</t>
  </si>
  <si>
    <t>parentExternalClassSubjectId</t>
  </si>
  <si>
    <t>managementType</t>
  </si>
  <si>
    <t>ext.gpa.shouldIntegrate</t>
  </si>
  <si>
    <t>ext.npj.shouldIntegrate</t>
  </si>
  <si>
    <t>ext.lxp.isCommunity</t>
  </si>
  <si>
    <t>TURDISC-001</t>
  </si>
  <si>
    <t>Mestre</t>
  </si>
  <si>
    <t>Pessoa *</t>
  </si>
  <si>
    <t>externalPersonId</t>
  </si>
  <si>
    <t>Coordenador *</t>
  </si>
  <si>
    <t>externalCoordinatorId</t>
  </si>
  <si>
    <t>Turma/Disciplina *</t>
  </si>
  <si>
    <t>Papel *</t>
  </si>
  <si>
    <t>externalClassSubjectId</t>
  </si>
  <si>
    <t>externalClassSubjectRoleId</t>
  </si>
  <si>
    <t>Vagas Alocadas *</t>
  </si>
  <si>
    <t>allocatedSlots</t>
  </si>
  <si>
    <t>Grupo Administração</t>
  </si>
  <si>
    <t>GRPMAT-001</t>
  </si>
  <si>
    <t>Estudante *</t>
  </si>
  <si>
    <t>Período *</t>
  </si>
  <si>
    <t>Campus</t>
  </si>
  <si>
    <t>Situação da Matrícula *</t>
  </si>
  <si>
    <t>Registro Acadêmico *</t>
  </si>
  <si>
    <t>Grupo Atual</t>
  </si>
  <si>
    <t>Grupo de Matrícula</t>
  </si>
  <si>
    <t>Polo</t>
  </si>
  <si>
    <t>externalStudentId</t>
  </si>
  <si>
    <t>externalCampusId</t>
  </si>
  <si>
    <t>externalEnrollmentStatusId</t>
  </si>
  <si>
    <t>academicRecord</t>
  </si>
  <si>
    <t>currentGroup</t>
  </si>
  <si>
    <t>externalEnrollmentGroupId</t>
  </si>
  <si>
    <t>externalEducationalHubId</t>
  </si>
  <si>
    <t>20260001</t>
  </si>
  <si>
    <t>ENR-001</t>
  </si>
  <si>
    <t>Matrícula *</t>
  </si>
  <si>
    <t>externalEnrollmentId</t>
  </si>
  <si>
    <t>Situação da Enturmação *</t>
  </si>
  <si>
    <t>Tipo de Matrícula</t>
  </si>
  <si>
    <t>externalEnrollmentClassSubjectStatusId</t>
  </si>
  <si>
    <t>externalEnrollmentTypeId</t>
  </si>
  <si>
    <t>ext.info.tags</t>
  </si>
  <si>
    <t>regular,ativo</t>
  </si>
  <si>
    <t>GRPSET-001</t>
  </si>
  <si>
    <t>Conjunto de Grupos A</t>
  </si>
  <si>
    <t>Conjunto de Grupos *</t>
  </si>
  <si>
    <t>externalGroupSetId</t>
  </si>
  <si>
    <t>GRP-001</t>
  </si>
  <si>
    <t>Grupo A</t>
  </si>
  <si>
    <t>Grupo *</t>
  </si>
  <si>
    <t>externalGroupId</t>
  </si>
  <si>
    <t>Entidade *</t>
  </si>
  <si>
    <t>Código Atual *</t>
  </si>
  <si>
    <t>Código Novo *</t>
  </si>
  <si>
    <t>entity</t>
  </si>
  <si>
    <t>oldExternalId</t>
  </si>
  <si>
    <t>newExternalId</t>
  </si>
  <si>
    <t>Cursos</t>
  </si>
  <si>
    <t>CUR-001-NOVO</t>
  </si>
  <si>
    <t>modalidade_tipo_label</t>
  </si>
  <si>
    <t>modalidade_tipo_code</t>
  </si>
  <si>
    <t>nivel_tipo_label</t>
  </si>
  <si>
    <t>nivel_tipo_code</t>
  </si>
  <si>
    <t>curso_tipo_label</t>
  </si>
  <si>
    <t>curso_tipo_code</t>
  </si>
  <si>
    <t>categoria_tipo_label</t>
  </si>
  <si>
    <t>categoria_tipo_code</t>
  </si>
  <si>
    <t>subject_tipo_label</t>
  </si>
  <si>
    <t>subject_tipo_code</t>
  </si>
  <si>
    <t>sit_matricula_tipo_label</t>
  </si>
  <si>
    <t>sit_matricula_tipo_code</t>
  </si>
  <si>
    <t>sit_enturmacao_tipo_label</t>
  </si>
  <si>
    <t>sit_enturmacao_tipo_code</t>
  </si>
  <si>
    <t>papel_tipo_label</t>
  </si>
  <si>
    <t>papel_tipo_code</t>
  </si>
  <si>
    <t>gestao_tipo_label</t>
  </si>
  <si>
    <t>gestao_tipo_code</t>
  </si>
  <si>
    <t>doc_tipo_label</t>
  </si>
  <si>
    <t>doc_tipo_code</t>
  </si>
  <si>
    <t>entidade_alteracao_label</t>
  </si>
  <si>
    <t>entidade_alteracao_code</t>
  </si>
  <si>
    <t>face_to_face</t>
  </si>
  <si>
    <t>undergraduate</t>
  </si>
  <si>
    <t>bachelor</t>
  </si>
  <si>
    <t>directed_studies</t>
  </si>
  <si>
    <t>compulsory</t>
  </si>
  <si>
    <t>active</t>
  </si>
  <si>
    <t>Tutor</t>
  </si>
  <si>
    <t>tutor</t>
  </si>
  <si>
    <t>master</t>
  </si>
  <si>
    <t>Acessibilidades</t>
  </si>
  <si>
    <t>accessibility</t>
  </si>
  <si>
    <t>blended_learning</t>
  </si>
  <si>
    <t>graduate</t>
  </si>
  <si>
    <t>Licenciatura</t>
  </si>
  <si>
    <t>licentiate</t>
  </si>
  <si>
    <t>normal</t>
  </si>
  <si>
    <t>Opcional</t>
  </si>
  <si>
    <t>optional</t>
  </si>
  <si>
    <t>Cancelado</t>
  </si>
  <si>
    <t>canceled</t>
  </si>
  <si>
    <t>Coordenador</t>
  </si>
  <si>
    <t>coordinator</t>
  </si>
  <si>
    <t>Gerencial</t>
  </si>
  <si>
    <t>managerial</t>
  </si>
  <si>
    <t>RNE</t>
  </si>
  <si>
    <t>campus</t>
  </si>
  <si>
    <t>distance_learning</t>
  </si>
  <si>
    <t>high_school</t>
  </si>
  <si>
    <t>Tecnólogo</t>
  </si>
  <si>
    <t>technologist</t>
  </si>
  <si>
    <t>workshop</t>
  </si>
  <si>
    <t>Optativa</t>
  </si>
  <si>
    <t>elective</t>
  </si>
  <si>
    <t>Trancado</t>
  </si>
  <si>
    <t>locked</t>
  </si>
  <si>
    <t>Estudante</t>
  </si>
  <si>
    <t>student</t>
  </si>
  <si>
    <t>Turmas</t>
  </si>
  <si>
    <t>class</t>
  </si>
  <si>
    <t>extension_course</t>
  </si>
  <si>
    <t>guidance</t>
  </si>
  <si>
    <t>Evadido</t>
  </si>
  <si>
    <t>dropped</t>
  </si>
  <si>
    <t>Monitor</t>
  </si>
  <si>
    <t>monitor</t>
  </si>
  <si>
    <t>course</t>
  </si>
  <si>
    <t>proficiency</t>
  </si>
  <si>
    <t>Concluído</t>
  </si>
  <si>
    <t>concluded</t>
  </si>
  <si>
    <t>teacher</t>
  </si>
  <si>
    <t>Currículos</t>
  </si>
  <si>
    <t>curriculum</t>
  </si>
  <si>
    <t>qualification</t>
  </si>
  <si>
    <t>Residente</t>
  </si>
  <si>
    <t>resident</t>
  </si>
  <si>
    <t>Polos</t>
  </si>
  <si>
    <t>educational-hub</t>
  </si>
  <si>
    <t>seminary</t>
  </si>
  <si>
    <t>Níveis de ensino</t>
  </si>
  <si>
    <t>education-level</t>
  </si>
  <si>
    <t>TCC</t>
  </si>
  <si>
    <t>final_paper</t>
  </si>
  <si>
    <t>Matrículas</t>
  </si>
  <si>
    <t>enrollment</t>
  </si>
  <si>
    <t>scheduled_activity</t>
  </si>
  <si>
    <t>Situações da enturmação</t>
  </si>
  <si>
    <t>enrollment-class-subject-status</t>
  </si>
  <si>
    <t>extension_activities</t>
  </si>
  <si>
    <t>Grupos de matrícula</t>
  </si>
  <si>
    <t>enrollment-group</t>
  </si>
  <si>
    <t>defense</t>
  </si>
  <si>
    <t>Matrículas no período</t>
  </si>
  <si>
    <t>enrollment-period</t>
  </si>
  <si>
    <t>internship</t>
  </si>
  <si>
    <t>Situações da matrícula</t>
  </si>
  <si>
    <t>enrollment-status</t>
  </si>
  <si>
    <t>Tipos de matrícula</t>
  </si>
  <si>
    <t>enrollment-type</t>
  </si>
  <si>
    <t>Intakes</t>
  </si>
  <si>
    <t>intake</t>
  </si>
  <si>
    <t>Períodos</t>
  </si>
  <si>
    <t>period</t>
  </si>
  <si>
    <t>Pessoas</t>
  </si>
  <si>
    <t>person</t>
  </si>
  <si>
    <t>Turnos</t>
  </si>
  <si>
    <t>shift</t>
  </si>
  <si>
    <t>Disciplinas</t>
  </si>
  <si>
    <t>subject</t>
  </si>
  <si>
    <t>Categorias da disciplina</t>
  </si>
  <si>
    <t>subject-category</t>
  </si>
  <si>
    <t>Modalidades de ensino</t>
  </si>
  <si>
    <t>teaching-modality</t>
  </si>
  <si>
    <t>Turmas/Disciplinas</t>
  </si>
  <si>
    <t>class-subject</t>
  </si>
  <si>
    <t>Papéis de turmas/disciplinas</t>
  </si>
  <si>
    <t>class-subject-role</t>
  </si>
  <si>
    <t>UNIG</t>
  </si>
  <si>
    <t>PRESENCIAL</t>
  </si>
  <si>
    <t>HIBRIDO</t>
  </si>
  <si>
    <t>ENSINO_DISTANCIA</t>
  </si>
  <si>
    <t>POS_GRADUACAO</t>
  </si>
  <si>
    <t>ENSINO_MEDIO</t>
  </si>
  <si>
    <t>CURSO_DE_EXTERNSAO</t>
  </si>
  <si>
    <t>GRADUACAO</t>
  </si>
  <si>
    <t>ESTUDOS_DIRIGIDOS</t>
  </si>
  <si>
    <t>NORMAL</t>
  </si>
  <si>
    <t>OFICINA</t>
  </si>
  <si>
    <t>ORIENTACAO</t>
  </si>
  <si>
    <t>PROFICIENCIA</t>
  </si>
  <si>
    <t>QUALIFICACAO</t>
  </si>
  <si>
    <t>SEMINARIO</t>
  </si>
  <si>
    <t>ATIVIDADE_PROGRAMADA</t>
  </si>
  <si>
    <t>ATIVIDADES_DE_EXTENSAO</t>
  </si>
  <si>
    <t>DEFESA</t>
  </si>
  <si>
    <t>ESTAGIO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</si>
</sst>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6"/>
      <color rgb="FF44546A"/>
      <name val="Arial"/>
      <family val="2"/>
    </font>
    <font>
      <i/>
      <sz val="11"/>
      <color rgb="FF595959"/>
      <name val="Arial"/>
      <family val="2"/>
    </font>
    <font>
      <sz val="10"/>
      <color rgb="FF333333"/>
      <name val="Arial"/>
      <family val="2"/>
    </font>
    <font>
      <b/>
      <sz val="11"/>
      <color rgb="FF44546A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1F4E78"/>
      <name val="Arial"/>
      <family val="2"/>
    </font>
    <font>
      <i/>
      <sz val="9"/>
      <color rgb="FF595959"/>
      <name val="Arial"/>
      <family val="2"/>
    </font>
    <font>
      <b/>
      <sz val="9"/>
      <color rgb="FF595959"/>
      <name val="Arial"/>
      <family val="2"/>
    </font>
    <font>
      <i/>
      <sz val="10"/>
      <color rgb="FF7F600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4546A"/>
        <bgColor rgb="FF595959"/>
      </patternFill>
    </fill>
    <fill>
      <patternFill patternType="solid">
        <fgColor rgb="FFFFF7D6"/>
        <bgColor rgb="FFFFFFFF"/>
      </patternFill>
    </fill>
    <fill>
      <patternFill patternType="solid">
        <fgColor rgb="FF1F4E78"/>
        <bgColor rgb="FF44546A"/>
      </patternFill>
    </fill>
    <fill>
      <patternFill patternType="solid">
        <fgColor rgb="FFD9D9D9"/>
        <bgColor rgb="FFC0C0C0"/>
      </patternFill>
    </fill>
    <fill>
      <patternFill patternType="solid">
        <fgColor rgb="FF375623"/>
        <bgColor rgb="FF44546A"/>
      </patternFill>
    </fill>
    <fill>
      <patternFill patternType="solid">
        <fgColor rgb="FF833C00"/>
        <bgColor rgb="FF7F6000"/>
      </patternFill>
    </fill>
    <fill>
      <patternFill patternType="solid">
        <fgColor rgb="FF5B2C6F"/>
        <bgColor rgb="FF333333"/>
      </patternFill>
    </fill>
    <fill>
      <patternFill patternType="solid">
        <fgColor rgb="FF595959"/>
        <bgColor rgb="FF44546A"/>
      </patternFill>
    </fill>
    <fill>
      <patternFill patternType="solid">
        <fgColor rgb="FF8B0000"/>
        <b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5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10" fillId="3" borderId="0" xfId="0" applyFont="1" applyFill="1"/>
    <xf numFmtId="0" fontId="5" fillId="6" borderId="0" xfId="0" applyFont="1" applyFill="1" applyAlignment="1">
      <alignment horizontal="center" vertical="center" wrapText="1"/>
    </xf>
    <xf numFmtId="0" fontId="0" fillId="0" borderId="0" xfId="0"/>
    <xf numFmtId="164" fontId="10" fillId="3" borderId="0" xfId="0" applyNumberFormat="1" applyFont="1" applyFill="1"/>
    <xf numFmtId="164" fontId="0" fillId="0" borderId="0" xfId="0" applyNumberFormat="1"/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10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5B2C6F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44546A"/>
      <rgbColor rgb="FF339966"/>
      <rgbColor rgb="FF003300"/>
      <rgbColor rgb="FF375623"/>
      <rgbColor rgb="FF833C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546A"/>
  </sheetPr>
  <dimension ref="B2:B27"/>
  <sheetViews>
    <sheetView showGridLines="0" zoomScaleNormal="100" workbookViewId="0">
      <selection activeCell="B25" sqref="B25"/>
    </sheetView>
  </sheetViews>
  <sheetFormatPr defaultColWidth="8.54296875" defaultRowHeight="14.5" x14ac:dyDescent="0.35"/>
  <cols>
    <col min="1" max="1" width="4" customWidth="1"/>
    <col min="2" max="2" width="100" customWidth="1"/>
  </cols>
  <sheetData>
    <row r="2" spans="2:2" ht="20" x14ac:dyDescent="0.4">
      <c r="B2" s="1" t="s">
        <v>0</v>
      </c>
    </row>
    <row r="3" spans="2:2" x14ac:dyDescent="0.35">
      <c r="B3" s="2" t="s">
        <v>1</v>
      </c>
    </row>
    <row r="5" spans="2:2" x14ac:dyDescent="0.35">
      <c r="B5" s="3"/>
    </row>
    <row r="6" spans="2:2" x14ac:dyDescent="0.35">
      <c r="B6" s="4" t="s">
        <v>2</v>
      </c>
    </row>
    <row r="7" spans="2:2" x14ac:dyDescent="0.35">
      <c r="B7" s="3" t="s">
        <v>3</v>
      </c>
    </row>
    <row r="8" spans="2:2" x14ac:dyDescent="0.35">
      <c r="B8" s="3" t="s">
        <v>4</v>
      </c>
    </row>
    <row r="9" spans="2:2" ht="25" x14ac:dyDescent="0.35">
      <c r="B9" s="3" t="s">
        <v>5</v>
      </c>
    </row>
    <row r="10" spans="2:2" x14ac:dyDescent="0.35">
      <c r="B10" s="3" t="s">
        <v>6</v>
      </c>
    </row>
    <row r="11" spans="2:2" ht="25" x14ac:dyDescent="0.35">
      <c r="B11" s="3" t="s">
        <v>7</v>
      </c>
    </row>
    <row r="12" spans="2:2" ht="37.5" x14ac:dyDescent="0.35">
      <c r="B12" s="3" t="s">
        <v>8</v>
      </c>
    </row>
    <row r="13" spans="2:2" ht="25" x14ac:dyDescent="0.35">
      <c r="B13" s="3" t="s">
        <v>9</v>
      </c>
    </row>
    <row r="14" spans="2:2" x14ac:dyDescent="0.35">
      <c r="B14" s="3" t="s">
        <v>10</v>
      </c>
    </row>
    <row r="15" spans="2:2" x14ac:dyDescent="0.35">
      <c r="B15" s="3"/>
    </row>
    <row r="16" spans="2:2" x14ac:dyDescent="0.35">
      <c r="B16" s="3" t="s">
        <v>11</v>
      </c>
    </row>
    <row r="17" spans="2:2" x14ac:dyDescent="0.35">
      <c r="B17" s="3" t="s">
        <v>12</v>
      </c>
    </row>
    <row r="18" spans="2:2" x14ac:dyDescent="0.35">
      <c r="B18" s="3" t="s">
        <v>13</v>
      </c>
    </row>
    <row r="19" spans="2:2" x14ac:dyDescent="0.35">
      <c r="B19" s="3" t="s">
        <v>14</v>
      </c>
    </row>
    <row r="20" spans="2:2" x14ac:dyDescent="0.35">
      <c r="B20" s="3" t="s">
        <v>15</v>
      </c>
    </row>
    <row r="21" spans="2:2" x14ac:dyDescent="0.35">
      <c r="B21" s="3" t="s">
        <v>16</v>
      </c>
    </row>
    <row r="22" spans="2:2" x14ac:dyDescent="0.35">
      <c r="B22" s="3" t="s">
        <v>17</v>
      </c>
    </row>
    <row r="23" spans="2:2" x14ac:dyDescent="0.35">
      <c r="B23" s="3" t="s">
        <v>18</v>
      </c>
    </row>
    <row r="24" spans="2:2" x14ac:dyDescent="0.35">
      <c r="B24" s="3"/>
    </row>
    <row r="25" spans="2:2" x14ac:dyDescent="0.35">
      <c r="B25" s="4" t="s">
        <v>19</v>
      </c>
    </row>
    <row r="26" spans="2:2" x14ac:dyDescent="0.35">
      <c r="B26" s="3" t="s">
        <v>20</v>
      </c>
    </row>
    <row r="27" spans="2:2" x14ac:dyDescent="0.35">
      <c r="B27" s="3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546A"/>
  </sheetPr>
  <dimension ref="A1:C5"/>
  <sheetViews>
    <sheetView tabSelected="1" zoomScaleNormal="100" workbookViewId="0">
      <pane ySplit="1" topLeftCell="A2" activePane="bottomLeft" state="frozen"/>
      <selection pane="bottomLeft" activeCell="B4" sqref="B4"/>
    </sheetView>
  </sheetViews>
  <sheetFormatPr defaultColWidth="8.54296875" defaultRowHeight="14.5" x14ac:dyDescent="0.35"/>
  <cols>
    <col min="1" max="1" width="32" customWidth="1"/>
    <col min="2" max="2" width="28" customWidth="1"/>
    <col min="3" max="3" width="11.1796875" bestFit="1" customWidth="1"/>
  </cols>
  <sheetData>
    <row r="1" spans="1:3" x14ac:dyDescent="0.35">
      <c r="A1" s="5" t="s">
        <v>22</v>
      </c>
      <c r="B1" s="5" t="s">
        <v>23</v>
      </c>
      <c r="C1" s="5" t="s">
        <v>24</v>
      </c>
    </row>
    <row r="2" spans="1:3" x14ac:dyDescent="0.35">
      <c r="A2" s="6" t="s">
        <v>25</v>
      </c>
      <c r="B2" s="7" t="s">
        <v>351</v>
      </c>
      <c r="C2" s="8"/>
    </row>
    <row r="3" spans="1:3" x14ac:dyDescent="0.35">
      <c r="A3" s="6" t="s">
        <v>26</v>
      </c>
      <c r="B3" s="7" t="s">
        <v>110</v>
      </c>
      <c r="C3" s="8"/>
    </row>
    <row r="4" spans="1:3" x14ac:dyDescent="0.35">
      <c r="A4" s="6" t="s">
        <v>28</v>
      </c>
      <c r="B4" s="7" t="s">
        <v>29</v>
      </c>
      <c r="C4" s="8"/>
    </row>
    <row r="5" spans="1:3" x14ac:dyDescent="0.35">
      <c r="A5" s="6" t="s">
        <v>30</v>
      </c>
      <c r="B5" s="7" t="s">
        <v>29</v>
      </c>
      <c r="C5" s="8"/>
    </row>
  </sheetData>
  <dataValidations count="1">
    <dataValidation type="list" allowBlank="1" sqref="B4:B5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54296875" defaultRowHeight="14.5" x14ac:dyDescent="0.35"/>
  <cols>
    <col min="1" max="1" width="24" customWidth="1"/>
    <col min="2" max="2" width="16" customWidth="1"/>
    <col min="3" max="3" width="22" customWidth="1"/>
    <col min="5" max="7" width="16" hidden="1" customWidth="1"/>
  </cols>
  <sheetData>
    <row r="1" spans="1:7" ht="31.5" customHeight="1" x14ac:dyDescent="0.35">
      <c r="A1" s="9" t="s">
        <v>31</v>
      </c>
      <c r="B1" s="9" t="s">
        <v>32</v>
      </c>
      <c r="C1" s="9" t="s">
        <v>33</v>
      </c>
      <c r="E1" s="10" t="s">
        <v>34</v>
      </c>
      <c r="F1" s="10" t="s">
        <v>35</v>
      </c>
      <c r="G1" s="10" t="s">
        <v>36</v>
      </c>
    </row>
    <row r="2" spans="1:7" x14ac:dyDescent="0.35">
      <c r="A2" s="11" t="s">
        <v>37</v>
      </c>
      <c r="B2" s="11" t="s">
        <v>38</v>
      </c>
      <c r="C2" s="11" t="s">
        <v>352</v>
      </c>
      <c r="E2" t="str">
        <f t="shared" ref="E2:E33" si="0">IF(A2="","",A2)</f>
        <v>Presencial</v>
      </c>
      <c r="F2" t="str">
        <f t="shared" ref="F2:F33" si="1">IF(B2="","",B2)</f>
        <v>MOD-001</v>
      </c>
      <c r="G2" t="str">
        <f>IFERROR(INDEX(Listas!$B$2:$B$4,MATCH(C2,Listas!$A$2:$A$4,0)),"")</f>
        <v>face_to_face</v>
      </c>
    </row>
    <row r="3" spans="1:7" x14ac:dyDescent="0.35">
      <c r="E3" t="str">
        <f t="shared" si="0"/>
        <v/>
      </c>
      <c r="F3" t="str">
        <f t="shared" si="1"/>
        <v/>
      </c>
      <c r="G3" t="str">
        <f>IFERROR(INDEX(Listas!$B$2:$B$4,MATCH(C3,Listas!$A$2:$A$4,0)),"")</f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>IFERROR(INDEX(Listas!$B$2:$B$4,MATCH(C4,Listas!$A$2:$A$4,0)),"")</f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>IFERROR(INDEX(Listas!$B$2:$B$4,MATCH(C5,Listas!$A$2:$A$4,0)),"")</f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>IFERROR(INDEX(Listas!$B$2:$B$4,MATCH(C6,Listas!$A$2:$A$4,0)),"")</f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>IFERROR(INDEX(Listas!$B$2:$B$4,MATCH(C7,Listas!$A$2:$A$4,0)),"")</f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>IFERROR(INDEX(Listas!$B$2:$B$4,MATCH(C8,Listas!$A$2:$A$4,0)),"")</f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>IFERROR(INDEX(Listas!$B$2:$B$4,MATCH(C9,Listas!$A$2:$A$4,0)),"")</f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>IFERROR(INDEX(Listas!$B$2:$B$4,MATCH(C10,Listas!$A$2:$A$4,0)),"")</f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>IFERROR(INDEX(Listas!$B$2:$B$4,MATCH(C11,Listas!$A$2:$A$4,0)),"")</f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>IFERROR(INDEX(Listas!$B$2:$B$4,MATCH(C12,Listas!$A$2:$A$4,0)),"")</f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>IFERROR(INDEX(Listas!$B$2:$B$4,MATCH(C13,Listas!$A$2:$A$4,0)),"")</f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>IFERROR(INDEX(Listas!$B$2:$B$4,MATCH(C14,Listas!$A$2:$A$4,0)),"")</f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>IFERROR(INDEX(Listas!$B$2:$B$4,MATCH(C15,Listas!$A$2:$A$4,0)),"")</f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>IFERROR(INDEX(Listas!$B$2:$B$4,MATCH(C16,Listas!$A$2:$A$4,0)),"")</f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>IFERROR(INDEX(Listas!$B$2:$B$4,MATCH(C17,Listas!$A$2:$A$4,0)),"")</f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>IFERROR(INDEX(Listas!$B$2:$B$4,MATCH(C18,Listas!$A$2:$A$4,0)),"")</f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>IFERROR(INDEX(Listas!$B$2:$B$4,MATCH(C19,Listas!$A$2:$A$4,0)),"")</f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>IFERROR(INDEX(Listas!$B$2:$B$4,MATCH(C20,Listas!$A$2:$A$4,0)),"")</f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>IFERROR(INDEX(Listas!$B$2:$B$4,MATCH(C21,Listas!$A$2:$A$4,0)),"")</f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>IFERROR(INDEX(Listas!$B$2:$B$4,MATCH(C22,Listas!$A$2:$A$4,0)),"")</f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>IFERROR(INDEX(Listas!$B$2:$B$4,MATCH(C23,Listas!$A$2:$A$4,0)),"")</f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>IFERROR(INDEX(Listas!$B$2:$B$4,MATCH(C24,Listas!$A$2:$A$4,0)),"")</f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>IFERROR(INDEX(Listas!$B$2:$B$4,MATCH(C25,Listas!$A$2:$A$4,0)),"")</f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>IFERROR(INDEX(Listas!$B$2:$B$4,MATCH(C26,Listas!$A$2:$A$4,0)),"")</f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>IFERROR(INDEX(Listas!$B$2:$B$4,MATCH(C27,Listas!$A$2:$A$4,0)),"")</f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>IFERROR(INDEX(Listas!$B$2:$B$4,MATCH(C28,Listas!$A$2:$A$4,0)),"")</f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>IFERROR(INDEX(Listas!$B$2:$B$4,MATCH(C29,Listas!$A$2:$A$4,0)),"")</f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>IFERROR(INDEX(Listas!$B$2:$B$4,MATCH(C30,Listas!$A$2:$A$4,0)),"")</f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>IFERROR(INDEX(Listas!$B$2:$B$4,MATCH(C31,Listas!$A$2:$A$4,0)),"")</f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>IFERROR(INDEX(Listas!$B$2:$B$4,MATCH(C32,Listas!$A$2:$A$4,0)),"")</f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>IFERROR(INDEX(Listas!$B$2:$B$4,MATCH(C33,Listas!$A$2:$A$4,0)),"")</f>
        <v/>
      </c>
    </row>
    <row r="34" spans="5:7" x14ac:dyDescent="0.35">
      <c r="E34" t="str">
        <f t="shared" ref="E34:E61" si="2">IF(A34="","",A34)</f>
        <v/>
      </c>
      <c r="F34" t="str">
        <f t="shared" ref="F34:F61" si="3">IF(B34="","",B34)</f>
        <v/>
      </c>
      <c r="G34" t="str">
        <f>IFERROR(INDEX(Listas!$B$2:$B$4,MATCH(C34,Listas!$A$2:$A$4,0)),"")</f>
        <v/>
      </c>
    </row>
    <row r="35" spans="5:7" x14ac:dyDescent="0.35">
      <c r="E35" t="str">
        <f t="shared" si="2"/>
        <v/>
      </c>
      <c r="F35" t="str">
        <f t="shared" si="3"/>
        <v/>
      </c>
      <c r="G35" t="str">
        <f>IFERROR(INDEX(Listas!$B$2:$B$4,MATCH(C35,Listas!$A$2:$A$4,0)),"")</f>
        <v/>
      </c>
    </row>
    <row r="36" spans="5:7" x14ac:dyDescent="0.35">
      <c r="E36" t="str">
        <f t="shared" si="2"/>
        <v/>
      </c>
      <c r="F36" t="str">
        <f t="shared" si="3"/>
        <v/>
      </c>
      <c r="G36" t="str">
        <f>IFERROR(INDEX(Listas!$B$2:$B$4,MATCH(C36,Listas!$A$2:$A$4,0)),"")</f>
        <v/>
      </c>
    </row>
    <row r="37" spans="5:7" x14ac:dyDescent="0.35">
      <c r="E37" t="str">
        <f t="shared" si="2"/>
        <v/>
      </c>
      <c r="F37" t="str">
        <f t="shared" si="3"/>
        <v/>
      </c>
      <c r="G37" t="str">
        <f>IFERROR(INDEX(Listas!$B$2:$B$4,MATCH(C37,Listas!$A$2:$A$4,0)),"")</f>
        <v/>
      </c>
    </row>
    <row r="38" spans="5:7" x14ac:dyDescent="0.35">
      <c r="E38" t="str">
        <f t="shared" si="2"/>
        <v/>
      </c>
      <c r="F38" t="str">
        <f t="shared" si="3"/>
        <v/>
      </c>
      <c r="G38" t="str">
        <f>IFERROR(INDEX(Listas!$B$2:$B$4,MATCH(C38,Listas!$A$2:$A$4,0)),"")</f>
        <v/>
      </c>
    </row>
    <row r="39" spans="5:7" x14ac:dyDescent="0.35">
      <c r="E39" t="str">
        <f t="shared" si="2"/>
        <v/>
      </c>
      <c r="F39" t="str">
        <f t="shared" si="3"/>
        <v/>
      </c>
      <c r="G39" t="str">
        <f>IFERROR(INDEX(Listas!$B$2:$B$4,MATCH(C39,Listas!$A$2:$A$4,0)),"")</f>
        <v/>
      </c>
    </row>
    <row r="40" spans="5:7" x14ac:dyDescent="0.35">
      <c r="E40" t="str">
        <f t="shared" si="2"/>
        <v/>
      </c>
      <c r="F40" t="str">
        <f t="shared" si="3"/>
        <v/>
      </c>
      <c r="G40" t="str">
        <f>IFERROR(INDEX(Listas!$B$2:$B$4,MATCH(C40,Listas!$A$2:$A$4,0)),"")</f>
        <v/>
      </c>
    </row>
    <row r="41" spans="5:7" x14ac:dyDescent="0.35">
      <c r="E41" t="str">
        <f t="shared" si="2"/>
        <v/>
      </c>
      <c r="F41" t="str">
        <f t="shared" si="3"/>
        <v/>
      </c>
      <c r="G41" t="str">
        <f>IFERROR(INDEX(Listas!$B$2:$B$4,MATCH(C41,Listas!$A$2:$A$4,0)),"")</f>
        <v/>
      </c>
    </row>
    <row r="42" spans="5:7" x14ac:dyDescent="0.35">
      <c r="E42" t="str">
        <f t="shared" si="2"/>
        <v/>
      </c>
      <c r="F42" t="str">
        <f t="shared" si="3"/>
        <v/>
      </c>
      <c r="G42" t="str">
        <f>IFERROR(INDEX(Listas!$B$2:$B$4,MATCH(C42,Listas!$A$2:$A$4,0)),"")</f>
        <v/>
      </c>
    </row>
    <row r="43" spans="5:7" x14ac:dyDescent="0.35">
      <c r="E43" t="str">
        <f t="shared" si="2"/>
        <v/>
      </c>
      <c r="F43" t="str">
        <f t="shared" si="3"/>
        <v/>
      </c>
      <c r="G43" t="str">
        <f>IFERROR(INDEX(Listas!$B$2:$B$4,MATCH(C43,Listas!$A$2:$A$4,0)),"")</f>
        <v/>
      </c>
    </row>
    <row r="44" spans="5:7" x14ac:dyDescent="0.35">
      <c r="E44" t="str">
        <f t="shared" si="2"/>
        <v/>
      </c>
      <c r="F44" t="str">
        <f t="shared" si="3"/>
        <v/>
      </c>
      <c r="G44" t="str">
        <f>IFERROR(INDEX(Listas!$B$2:$B$4,MATCH(C44,Listas!$A$2:$A$4,0)),"")</f>
        <v/>
      </c>
    </row>
    <row r="45" spans="5:7" x14ac:dyDescent="0.35">
      <c r="E45" t="str">
        <f t="shared" si="2"/>
        <v/>
      </c>
      <c r="F45" t="str">
        <f t="shared" si="3"/>
        <v/>
      </c>
      <c r="G45" t="str">
        <f>IFERROR(INDEX(Listas!$B$2:$B$4,MATCH(C45,Listas!$A$2:$A$4,0)),"")</f>
        <v/>
      </c>
    </row>
    <row r="46" spans="5:7" x14ac:dyDescent="0.35">
      <c r="E46" t="str">
        <f t="shared" si="2"/>
        <v/>
      </c>
      <c r="F46" t="str">
        <f t="shared" si="3"/>
        <v/>
      </c>
      <c r="G46" t="str">
        <f>IFERROR(INDEX(Listas!$B$2:$B$4,MATCH(C46,Listas!$A$2:$A$4,0)),"")</f>
        <v/>
      </c>
    </row>
    <row r="47" spans="5:7" x14ac:dyDescent="0.35">
      <c r="E47" t="str">
        <f t="shared" si="2"/>
        <v/>
      </c>
      <c r="F47" t="str">
        <f t="shared" si="3"/>
        <v/>
      </c>
      <c r="G47" t="str">
        <f>IFERROR(INDEX(Listas!$B$2:$B$4,MATCH(C47,Listas!$A$2:$A$4,0)),"")</f>
        <v/>
      </c>
    </row>
    <row r="48" spans="5:7" x14ac:dyDescent="0.35">
      <c r="E48" t="str">
        <f t="shared" si="2"/>
        <v/>
      </c>
      <c r="F48" t="str">
        <f t="shared" si="3"/>
        <v/>
      </c>
      <c r="G48" t="str">
        <f>IFERROR(INDEX(Listas!$B$2:$B$4,MATCH(C48,Listas!$A$2:$A$4,0)),"")</f>
        <v/>
      </c>
    </row>
    <row r="49" spans="5:7" x14ac:dyDescent="0.35">
      <c r="E49" t="str">
        <f t="shared" si="2"/>
        <v/>
      </c>
      <c r="F49" t="str">
        <f t="shared" si="3"/>
        <v/>
      </c>
      <c r="G49" t="str">
        <f>IFERROR(INDEX(Listas!$B$2:$B$4,MATCH(C49,Listas!$A$2:$A$4,0)),"")</f>
        <v/>
      </c>
    </row>
    <row r="50" spans="5:7" x14ac:dyDescent="0.35">
      <c r="E50" t="str">
        <f t="shared" si="2"/>
        <v/>
      </c>
      <c r="F50" t="str">
        <f t="shared" si="3"/>
        <v/>
      </c>
      <c r="G50" t="str">
        <f>IFERROR(INDEX(Listas!$B$2:$B$4,MATCH(C50,Listas!$A$2:$A$4,0)),"")</f>
        <v/>
      </c>
    </row>
    <row r="51" spans="5:7" x14ac:dyDescent="0.35">
      <c r="E51" t="str">
        <f t="shared" si="2"/>
        <v/>
      </c>
      <c r="F51" t="str">
        <f t="shared" si="3"/>
        <v/>
      </c>
      <c r="G51" t="str">
        <f>IFERROR(INDEX(Listas!$B$2:$B$4,MATCH(C51,Listas!$A$2:$A$4,0)),"")</f>
        <v/>
      </c>
    </row>
    <row r="52" spans="5:7" x14ac:dyDescent="0.35">
      <c r="E52" t="str">
        <f t="shared" si="2"/>
        <v/>
      </c>
      <c r="F52" t="str">
        <f t="shared" si="3"/>
        <v/>
      </c>
      <c r="G52" t="str">
        <f>IFERROR(INDEX(Listas!$B$2:$B$4,MATCH(C52,Listas!$A$2:$A$4,0)),"")</f>
        <v/>
      </c>
    </row>
    <row r="53" spans="5:7" x14ac:dyDescent="0.35">
      <c r="E53" t="str">
        <f t="shared" si="2"/>
        <v/>
      </c>
      <c r="F53" t="str">
        <f t="shared" si="3"/>
        <v/>
      </c>
      <c r="G53" t="str">
        <f>IFERROR(INDEX(Listas!$B$2:$B$4,MATCH(C53,Listas!$A$2:$A$4,0)),"")</f>
        <v/>
      </c>
    </row>
    <row r="54" spans="5:7" x14ac:dyDescent="0.35">
      <c r="E54" t="str">
        <f t="shared" si="2"/>
        <v/>
      </c>
      <c r="F54" t="str">
        <f t="shared" si="3"/>
        <v/>
      </c>
      <c r="G54" t="str">
        <f>IFERROR(INDEX(Listas!$B$2:$B$4,MATCH(C54,Listas!$A$2:$A$4,0)),"")</f>
        <v/>
      </c>
    </row>
    <row r="55" spans="5:7" x14ac:dyDescent="0.35">
      <c r="E55" t="str">
        <f t="shared" si="2"/>
        <v/>
      </c>
      <c r="F55" t="str">
        <f t="shared" si="3"/>
        <v/>
      </c>
      <c r="G55" t="str">
        <f>IFERROR(INDEX(Listas!$B$2:$B$4,MATCH(C55,Listas!$A$2:$A$4,0)),"")</f>
        <v/>
      </c>
    </row>
    <row r="56" spans="5:7" x14ac:dyDescent="0.35">
      <c r="E56" t="str">
        <f t="shared" si="2"/>
        <v/>
      </c>
      <c r="F56" t="str">
        <f t="shared" si="3"/>
        <v/>
      </c>
      <c r="G56" t="str">
        <f>IFERROR(INDEX(Listas!$B$2:$B$4,MATCH(C56,Listas!$A$2:$A$4,0)),"")</f>
        <v/>
      </c>
    </row>
    <row r="57" spans="5:7" x14ac:dyDescent="0.35">
      <c r="E57" t="str">
        <f t="shared" si="2"/>
        <v/>
      </c>
      <c r="F57" t="str">
        <f t="shared" si="3"/>
        <v/>
      </c>
      <c r="G57" t="str">
        <f>IFERROR(INDEX(Listas!$B$2:$B$4,MATCH(C57,Listas!$A$2:$A$4,0)),"")</f>
        <v/>
      </c>
    </row>
    <row r="58" spans="5:7" x14ac:dyDescent="0.35">
      <c r="E58" t="str">
        <f t="shared" si="2"/>
        <v/>
      </c>
      <c r="F58" t="str">
        <f t="shared" si="3"/>
        <v/>
      </c>
      <c r="G58" t="str">
        <f>IFERROR(INDEX(Listas!$B$2:$B$4,MATCH(C58,Listas!$A$2:$A$4,0)),"")</f>
        <v/>
      </c>
    </row>
    <row r="59" spans="5:7" x14ac:dyDescent="0.35">
      <c r="E59" t="str">
        <f t="shared" si="2"/>
        <v/>
      </c>
      <c r="F59" t="str">
        <f t="shared" si="3"/>
        <v/>
      </c>
      <c r="G59" t="str">
        <f>IFERROR(INDEX(Listas!$B$2:$B$4,MATCH(C59,Listas!$A$2:$A$4,0)),"")</f>
        <v/>
      </c>
    </row>
    <row r="60" spans="5:7" x14ac:dyDescent="0.35">
      <c r="E60" t="str">
        <f t="shared" si="2"/>
        <v/>
      </c>
      <c r="F60" t="str">
        <f t="shared" si="3"/>
        <v/>
      </c>
      <c r="G60" t="str">
        <f>IFERROR(INDEX(Listas!$B$2:$B$4,MATCH(C60,Listas!$A$2:$A$4,0)),"")</f>
        <v/>
      </c>
    </row>
    <row r="61" spans="5:7" x14ac:dyDescent="0.35">
      <c r="E61" t="str">
        <f t="shared" si="2"/>
        <v/>
      </c>
      <c r="F61" t="str">
        <f t="shared" si="3"/>
        <v/>
      </c>
      <c r="G61" t="str">
        <f>IFERROR(INDEX(Listas!$B$2:$B$4,MATCH(C61,Listas!$A$2:$A$4,0)),"")</f>
        <v/>
      </c>
    </row>
  </sheetData>
  <autoFilter ref="A1:C1"/>
  <conditionalFormatting sqref="A3:A61">
    <cfRule type="expression" dxfId="105" priority="2">
      <formula>AND($A3="",COUNTA($A3:$C3)&gt;0)</formula>
    </cfRule>
  </conditionalFormatting>
  <conditionalFormatting sqref="B3:B61">
    <cfRule type="expression" dxfId="104" priority="3">
      <formula>AND($B3="",COUNTA($A3:$C3)&gt;0)</formula>
    </cfRule>
  </conditionalFormatting>
  <conditionalFormatting sqref="C3:C61">
    <cfRule type="expression" dxfId="103" priority="4">
      <formula>AND($C3="",COUNTA($A3:$C3)&gt;0)</formula>
    </cfRule>
  </conditionalFormatting>
  <dataValidations count="1">
    <dataValidation type="textLength" operator="lessThanOrEqual" allowBlank="1" errorTitle="Texto muito longo" error="Máximo de 50 caracteres" sqref="A2:B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Listas!$A$2:$A$4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54296875" defaultRowHeight="14.5" x14ac:dyDescent="0.35"/>
  <cols>
    <col min="1" max="1" width="24" customWidth="1"/>
    <col min="2" max="2" width="16" customWidth="1"/>
    <col min="3" max="3" width="22" customWidth="1"/>
    <col min="5" max="7" width="16" hidden="1" customWidth="1"/>
  </cols>
  <sheetData>
    <row r="1" spans="1:7" ht="31.5" customHeight="1" x14ac:dyDescent="0.35">
      <c r="A1" s="9" t="s">
        <v>31</v>
      </c>
      <c r="B1" s="9" t="s">
        <v>32</v>
      </c>
      <c r="C1" s="9" t="s">
        <v>39</v>
      </c>
      <c r="E1" s="10" t="s">
        <v>34</v>
      </c>
      <c r="F1" s="10" t="s">
        <v>35</v>
      </c>
      <c r="G1" s="10" t="s">
        <v>40</v>
      </c>
    </row>
    <row r="2" spans="1:7" x14ac:dyDescent="0.35">
      <c r="A2" s="11" t="s">
        <v>41</v>
      </c>
      <c r="B2" s="11" t="s">
        <v>42</v>
      </c>
      <c r="C2" s="11" t="s">
        <v>358</v>
      </c>
      <c r="E2" t="str">
        <f t="shared" ref="E2:E33" si="0">IF(A2="","",A2)</f>
        <v>Graduação</v>
      </c>
      <c r="F2" t="str">
        <f t="shared" ref="F2:F33" si="1">IF(B2="","",B2)</f>
        <v>LEV-001</v>
      </c>
      <c r="G2" t="str">
        <f>IFERROR(INDEX(Listas!$E$2:$E$5,MATCH(C2,Listas!$D$2:$D$5,0)),"")</f>
        <v>undergraduate</v>
      </c>
    </row>
    <row r="3" spans="1:7" x14ac:dyDescent="0.35">
      <c r="E3" t="str">
        <f t="shared" si="0"/>
        <v/>
      </c>
      <c r="F3" t="str">
        <f t="shared" si="1"/>
        <v/>
      </c>
      <c r="G3" t="str">
        <f>IFERROR(INDEX(Listas!$E$2:$E$5,MATCH(C3,Listas!$D$2:$D$5,0)),"")</f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>IFERROR(INDEX(Listas!$E$2:$E$5,MATCH(C4,Listas!$D$2:$D$5,0)),"")</f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>IFERROR(INDEX(Listas!$E$2:$E$5,MATCH(C5,Listas!$D$2:$D$5,0)),"")</f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>IFERROR(INDEX(Listas!$E$2:$E$5,MATCH(C6,Listas!$D$2:$D$5,0)),"")</f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>IFERROR(INDEX(Listas!$E$2:$E$5,MATCH(C7,Listas!$D$2:$D$5,0)),"")</f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>IFERROR(INDEX(Listas!$E$2:$E$5,MATCH(C8,Listas!$D$2:$D$5,0)),"")</f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>IFERROR(INDEX(Listas!$E$2:$E$5,MATCH(C9,Listas!$D$2:$D$5,0)),"")</f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>IFERROR(INDEX(Listas!$E$2:$E$5,MATCH(C10,Listas!$D$2:$D$5,0)),"")</f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>IFERROR(INDEX(Listas!$E$2:$E$5,MATCH(C11,Listas!$D$2:$D$5,0)),"")</f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>IFERROR(INDEX(Listas!$E$2:$E$5,MATCH(C12,Listas!$D$2:$D$5,0)),"")</f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>IFERROR(INDEX(Listas!$E$2:$E$5,MATCH(C13,Listas!$D$2:$D$5,0)),"")</f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>IFERROR(INDEX(Listas!$E$2:$E$5,MATCH(C14,Listas!$D$2:$D$5,0)),"")</f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>IFERROR(INDEX(Listas!$E$2:$E$5,MATCH(C15,Listas!$D$2:$D$5,0)),"")</f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>IFERROR(INDEX(Listas!$E$2:$E$5,MATCH(C16,Listas!$D$2:$D$5,0)),"")</f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>IFERROR(INDEX(Listas!$E$2:$E$5,MATCH(C17,Listas!$D$2:$D$5,0)),"")</f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>IFERROR(INDEX(Listas!$E$2:$E$5,MATCH(C18,Listas!$D$2:$D$5,0)),"")</f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>IFERROR(INDEX(Listas!$E$2:$E$5,MATCH(C19,Listas!$D$2:$D$5,0)),"")</f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>IFERROR(INDEX(Listas!$E$2:$E$5,MATCH(C20,Listas!$D$2:$D$5,0)),"")</f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>IFERROR(INDEX(Listas!$E$2:$E$5,MATCH(C21,Listas!$D$2:$D$5,0)),"")</f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>IFERROR(INDEX(Listas!$E$2:$E$5,MATCH(C22,Listas!$D$2:$D$5,0)),"")</f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>IFERROR(INDEX(Listas!$E$2:$E$5,MATCH(C23,Listas!$D$2:$D$5,0)),"")</f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>IFERROR(INDEX(Listas!$E$2:$E$5,MATCH(C24,Listas!$D$2:$D$5,0)),"")</f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>IFERROR(INDEX(Listas!$E$2:$E$5,MATCH(C25,Listas!$D$2:$D$5,0)),"")</f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>IFERROR(INDEX(Listas!$E$2:$E$5,MATCH(C26,Listas!$D$2:$D$5,0)),"")</f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>IFERROR(INDEX(Listas!$E$2:$E$5,MATCH(C27,Listas!$D$2:$D$5,0)),"")</f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>IFERROR(INDEX(Listas!$E$2:$E$5,MATCH(C28,Listas!$D$2:$D$5,0)),"")</f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>IFERROR(INDEX(Listas!$E$2:$E$5,MATCH(C29,Listas!$D$2:$D$5,0)),"")</f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>IFERROR(INDEX(Listas!$E$2:$E$5,MATCH(C30,Listas!$D$2:$D$5,0)),"")</f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>IFERROR(INDEX(Listas!$E$2:$E$5,MATCH(C31,Listas!$D$2:$D$5,0)),"")</f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>IFERROR(INDEX(Listas!$E$2:$E$5,MATCH(C32,Listas!$D$2:$D$5,0)),"")</f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>IFERROR(INDEX(Listas!$E$2:$E$5,MATCH(C33,Listas!$D$2:$D$5,0)),"")</f>
        <v/>
      </c>
    </row>
    <row r="34" spans="5:7" x14ac:dyDescent="0.35">
      <c r="E34" t="str">
        <f t="shared" ref="E34:E61" si="2">IF(A34="","",A34)</f>
        <v/>
      </c>
      <c r="F34" t="str">
        <f t="shared" ref="F34:F61" si="3">IF(B34="","",B34)</f>
        <v/>
      </c>
      <c r="G34" t="str">
        <f>IFERROR(INDEX(Listas!$E$2:$E$5,MATCH(C34,Listas!$D$2:$D$5,0)),"")</f>
        <v/>
      </c>
    </row>
    <row r="35" spans="5:7" x14ac:dyDescent="0.35">
      <c r="E35" t="str">
        <f t="shared" si="2"/>
        <v/>
      </c>
      <c r="F35" t="str">
        <f t="shared" si="3"/>
        <v/>
      </c>
      <c r="G35" t="str">
        <f>IFERROR(INDEX(Listas!$E$2:$E$5,MATCH(C35,Listas!$D$2:$D$5,0)),"")</f>
        <v/>
      </c>
    </row>
    <row r="36" spans="5:7" x14ac:dyDescent="0.35">
      <c r="E36" t="str">
        <f t="shared" si="2"/>
        <v/>
      </c>
      <c r="F36" t="str">
        <f t="shared" si="3"/>
        <v/>
      </c>
      <c r="G36" t="str">
        <f>IFERROR(INDEX(Listas!$E$2:$E$5,MATCH(C36,Listas!$D$2:$D$5,0)),"")</f>
        <v/>
      </c>
    </row>
    <row r="37" spans="5:7" x14ac:dyDescent="0.35">
      <c r="E37" t="str">
        <f t="shared" si="2"/>
        <v/>
      </c>
      <c r="F37" t="str">
        <f t="shared" si="3"/>
        <v/>
      </c>
      <c r="G37" t="str">
        <f>IFERROR(INDEX(Listas!$E$2:$E$5,MATCH(C37,Listas!$D$2:$D$5,0)),"")</f>
        <v/>
      </c>
    </row>
    <row r="38" spans="5:7" x14ac:dyDescent="0.35">
      <c r="E38" t="str">
        <f t="shared" si="2"/>
        <v/>
      </c>
      <c r="F38" t="str">
        <f t="shared" si="3"/>
        <v/>
      </c>
      <c r="G38" t="str">
        <f>IFERROR(INDEX(Listas!$E$2:$E$5,MATCH(C38,Listas!$D$2:$D$5,0)),"")</f>
        <v/>
      </c>
    </row>
    <row r="39" spans="5:7" x14ac:dyDescent="0.35">
      <c r="E39" t="str">
        <f t="shared" si="2"/>
        <v/>
      </c>
      <c r="F39" t="str">
        <f t="shared" si="3"/>
        <v/>
      </c>
      <c r="G39" t="str">
        <f>IFERROR(INDEX(Listas!$E$2:$E$5,MATCH(C39,Listas!$D$2:$D$5,0)),"")</f>
        <v/>
      </c>
    </row>
    <row r="40" spans="5:7" x14ac:dyDescent="0.35">
      <c r="E40" t="str">
        <f t="shared" si="2"/>
        <v/>
      </c>
      <c r="F40" t="str">
        <f t="shared" si="3"/>
        <v/>
      </c>
      <c r="G40" t="str">
        <f>IFERROR(INDEX(Listas!$E$2:$E$5,MATCH(C40,Listas!$D$2:$D$5,0)),"")</f>
        <v/>
      </c>
    </row>
    <row r="41" spans="5:7" x14ac:dyDescent="0.35">
      <c r="E41" t="str">
        <f t="shared" si="2"/>
        <v/>
      </c>
      <c r="F41" t="str">
        <f t="shared" si="3"/>
        <v/>
      </c>
      <c r="G41" t="str">
        <f>IFERROR(INDEX(Listas!$E$2:$E$5,MATCH(C41,Listas!$D$2:$D$5,0)),"")</f>
        <v/>
      </c>
    </row>
    <row r="42" spans="5:7" x14ac:dyDescent="0.35">
      <c r="E42" t="str">
        <f t="shared" si="2"/>
        <v/>
      </c>
      <c r="F42" t="str">
        <f t="shared" si="3"/>
        <v/>
      </c>
      <c r="G42" t="str">
        <f>IFERROR(INDEX(Listas!$E$2:$E$5,MATCH(C42,Listas!$D$2:$D$5,0)),"")</f>
        <v/>
      </c>
    </row>
    <row r="43" spans="5:7" x14ac:dyDescent="0.35">
      <c r="E43" t="str">
        <f t="shared" si="2"/>
        <v/>
      </c>
      <c r="F43" t="str">
        <f t="shared" si="3"/>
        <v/>
      </c>
      <c r="G43" t="str">
        <f>IFERROR(INDEX(Listas!$E$2:$E$5,MATCH(C43,Listas!$D$2:$D$5,0)),"")</f>
        <v/>
      </c>
    </row>
    <row r="44" spans="5:7" x14ac:dyDescent="0.35">
      <c r="E44" t="str">
        <f t="shared" si="2"/>
        <v/>
      </c>
      <c r="F44" t="str">
        <f t="shared" si="3"/>
        <v/>
      </c>
      <c r="G44" t="str">
        <f>IFERROR(INDEX(Listas!$E$2:$E$5,MATCH(C44,Listas!$D$2:$D$5,0)),"")</f>
        <v/>
      </c>
    </row>
    <row r="45" spans="5:7" x14ac:dyDescent="0.35">
      <c r="E45" t="str">
        <f t="shared" si="2"/>
        <v/>
      </c>
      <c r="F45" t="str">
        <f t="shared" si="3"/>
        <v/>
      </c>
      <c r="G45" t="str">
        <f>IFERROR(INDEX(Listas!$E$2:$E$5,MATCH(C45,Listas!$D$2:$D$5,0)),"")</f>
        <v/>
      </c>
    </row>
    <row r="46" spans="5:7" x14ac:dyDescent="0.35">
      <c r="E46" t="str">
        <f t="shared" si="2"/>
        <v/>
      </c>
      <c r="F46" t="str">
        <f t="shared" si="3"/>
        <v/>
      </c>
      <c r="G46" t="str">
        <f>IFERROR(INDEX(Listas!$E$2:$E$5,MATCH(C46,Listas!$D$2:$D$5,0)),"")</f>
        <v/>
      </c>
    </row>
    <row r="47" spans="5:7" x14ac:dyDescent="0.35">
      <c r="E47" t="str">
        <f t="shared" si="2"/>
        <v/>
      </c>
      <c r="F47" t="str">
        <f t="shared" si="3"/>
        <v/>
      </c>
      <c r="G47" t="str">
        <f>IFERROR(INDEX(Listas!$E$2:$E$5,MATCH(C47,Listas!$D$2:$D$5,0)),"")</f>
        <v/>
      </c>
    </row>
    <row r="48" spans="5:7" x14ac:dyDescent="0.35">
      <c r="E48" t="str">
        <f t="shared" si="2"/>
        <v/>
      </c>
      <c r="F48" t="str">
        <f t="shared" si="3"/>
        <v/>
      </c>
      <c r="G48" t="str">
        <f>IFERROR(INDEX(Listas!$E$2:$E$5,MATCH(C48,Listas!$D$2:$D$5,0)),"")</f>
        <v/>
      </c>
    </row>
    <row r="49" spans="5:7" x14ac:dyDescent="0.35">
      <c r="E49" t="str">
        <f t="shared" si="2"/>
        <v/>
      </c>
      <c r="F49" t="str">
        <f t="shared" si="3"/>
        <v/>
      </c>
      <c r="G49" t="str">
        <f>IFERROR(INDEX(Listas!$E$2:$E$5,MATCH(C49,Listas!$D$2:$D$5,0)),"")</f>
        <v/>
      </c>
    </row>
    <row r="50" spans="5:7" x14ac:dyDescent="0.35">
      <c r="E50" t="str">
        <f t="shared" si="2"/>
        <v/>
      </c>
      <c r="F50" t="str">
        <f t="shared" si="3"/>
        <v/>
      </c>
      <c r="G50" t="str">
        <f>IFERROR(INDEX(Listas!$E$2:$E$5,MATCH(C50,Listas!$D$2:$D$5,0)),"")</f>
        <v/>
      </c>
    </row>
    <row r="51" spans="5:7" x14ac:dyDescent="0.35">
      <c r="E51" t="str">
        <f t="shared" si="2"/>
        <v/>
      </c>
      <c r="F51" t="str">
        <f t="shared" si="3"/>
        <v/>
      </c>
      <c r="G51" t="str">
        <f>IFERROR(INDEX(Listas!$E$2:$E$5,MATCH(C51,Listas!$D$2:$D$5,0)),"")</f>
        <v/>
      </c>
    </row>
    <row r="52" spans="5:7" x14ac:dyDescent="0.35">
      <c r="E52" t="str">
        <f t="shared" si="2"/>
        <v/>
      </c>
      <c r="F52" t="str">
        <f t="shared" si="3"/>
        <v/>
      </c>
      <c r="G52" t="str">
        <f>IFERROR(INDEX(Listas!$E$2:$E$5,MATCH(C52,Listas!$D$2:$D$5,0)),"")</f>
        <v/>
      </c>
    </row>
    <row r="53" spans="5:7" x14ac:dyDescent="0.35">
      <c r="E53" t="str">
        <f t="shared" si="2"/>
        <v/>
      </c>
      <c r="F53" t="str">
        <f t="shared" si="3"/>
        <v/>
      </c>
      <c r="G53" t="str">
        <f>IFERROR(INDEX(Listas!$E$2:$E$5,MATCH(C53,Listas!$D$2:$D$5,0)),"")</f>
        <v/>
      </c>
    </row>
    <row r="54" spans="5:7" x14ac:dyDescent="0.35">
      <c r="E54" t="str">
        <f t="shared" si="2"/>
        <v/>
      </c>
      <c r="F54" t="str">
        <f t="shared" si="3"/>
        <v/>
      </c>
      <c r="G54" t="str">
        <f>IFERROR(INDEX(Listas!$E$2:$E$5,MATCH(C54,Listas!$D$2:$D$5,0)),"")</f>
        <v/>
      </c>
    </row>
    <row r="55" spans="5:7" x14ac:dyDescent="0.35">
      <c r="E55" t="str">
        <f t="shared" si="2"/>
        <v/>
      </c>
      <c r="F55" t="str">
        <f t="shared" si="3"/>
        <v/>
      </c>
      <c r="G55" t="str">
        <f>IFERROR(INDEX(Listas!$E$2:$E$5,MATCH(C55,Listas!$D$2:$D$5,0)),"")</f>
        <v/>
      </c>
    </row>
    <row r="56" spans="5:7" x14ac:dyDescent="0.35">
      <c r="E56" t="str">
        <f t="shared" si="2"/>
        <v/>
      </c>
      <c r="F56" t="str">
        <f t="shared" si="3"/>
        <v/>
      </c>
      <c r="G56" t="str">
        <f>IFERROR(INDEX(Listas!$E$2:$E$5,MATCH(C56,Listas!$D$2:$D$5,0)),"")</f>
        <v/>
      </c>
    </row>
    <row r="57" spans="5:7" x14ac:dyDescent="0.35">
      <c r="E57" t="str">
        <f t="shared" si="2"/>
        <v/>
      </c>
      <c r="F57" t="str">
        <f t="shared" si="3"/>
        <v/>
      </c>
      <c r="G57" t="str">
        <f>IFERROR(INDEX(Listas!$E$2:$E$5,MATCH(C57,Listas!$D$2:$D$5,0)),"")</f>
        <v/>
      </c>
    </row>
    <row r="58" spans="5:7" x14ac:dyDescent="0.35">
      <c r="E58" t="str">
        <f t="shared" si="2"/>
        <v/>
      </c>
      <c r="F58" t="str">
        <f t="shared" si="3"/>
        <v/>
      </c>
      <c r="G58" t="str">
        <f>IFERROR(INDEX(Listas!$E$2:$E$5,MATCH(C58,Listas!$D$2:$D$5,0)),"")</f>
        <v/>
      </c>
    </row>
    <row r="59" spans="5:7" x14ac:dyDescent="0.35">
      <c r="E59" t="str">
        <f t="shared" si="2"/>
        <v/>
      </c>
      <c r="F59" t="str">
        <f t="shared" si="3"/>
        <v/>
      </c>
      <c r="G59" t="str">
        <f>IFERROR(INDEX(Listas!$E$2:$E$5,MATCH(C59,Listas!$D$2:$D$5,0)),"")</f>
        <v/>
      </c>
    </row>
    <row r="60" spans="5:7" x14ac:dyDescent="0.35">
      <c r="E60" t="str">
        <f t="shared" si="2"/>
        <v/>
      </c>
      <c r="F60" t="str">
        <f t="shared" si="3"/>
        <v/>
      </c>
      <c r="G60" t="str">
        <f>IFERROR(INDEX(Listas!$E$2:$E$5,MATCH(C60,Listas!$D$2:$D$5,0)),"")</f>
        <v/>
      </c>
    </row>
    <row r="61" spans="5:7" x14ac:dyDescent="0.35">
      <c r="E61" t="str">
        <f t="shared" si="2"/>
        <v/>
      </c>
      <c r="F61" t="str">
        <f t="shared" si="3"/>
        <v/>
      </c>
      <c r="G61" t="str">
        <f>IFERROR(INDEX(Listas!$E$2:$E$5,MATCH(C61,Listas!$D$2:$D$5,0)),"")</f>
        <v/>
      </c>
    </row>
  </sheetData>
  <autoFilter ref="A1:C1"/>
  <conditionalFormatting sqref="A3:A61">
    <cfRule type="expression" dxfId="102" priority="2">
      <formula>AND($A3="",COUNTA($A3:$C3)&gt;0)</formula>
    </cfRule>
  </conditionalFormatting>
  <conditionalFormatting sqref="B3:B61">
    <cfRule type="expression" dxfId="101" priority="3">
      <formula>AND($B3="",COUNTA($A3:$C3)&gt;0)</formula>
    </cfRule>
  </conditionalFormatting>
  <conditionalFormatting sqref="C3:C61">
    <cfRule type="expression" dxfId="100" priority="4">
      <formula>AND($C3="",COUNTA($A3:$C3)&gt;0)</formula>
    </cfRule>
  </conditionalFormatting>
  <dataValidations count="1">
    <dataValidation type="textLength" operator="lessThanOrEqual" allowBlank="1" errorTitle="Texto muito longo" error="Máximo de 50 caracteres" sqref="A2:B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Listas!$D$2:$D$5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I61"/>
  <sheetViews>
    <sheetView zoomScaleNormal="100" workbookViewId="0">
      <pane ySplit="1" topLeftCell="A2" activePane="bottomLeft" state="frozen"/>
      <selection pane="bottomLeft" activeCell="C10" sqref="C10"/>
    </sheetView>
  </sheetViews>
  <sheetFormatPr defaultColWidth="8.54296875" defaultRowHeight="14.5" x14ac:dyDescent="0.35"/>
  <cols>
    <col min="1" max="1" width="26" customWidth="1"/>
    <col min="2" max="2" width="16" customWidth="1"/>
    <col min="3" max="3" width="22" customWidth="1"/>
    <col min="4" max="4" width="10" customWidth="1"/>
    <col min="6" max="9" width="16" hidden="1" customWidth="1"/>
  </cols>
  <sheetData>
    <row r="1" spans="1:9" ht="31.5" customHeight="1" x14ac:dyDescent="0.35">
      <c r="A1" s="9" t="s">
        <v>31</v>
      </c>
      <c r="B1" s="9" t="s">
        <v>32</v>
      </c>
      <c r="C1" s="9" t="s">
        <v>43</v>
      </c>
      <c r="D1" s="9" t="s">
        <v>44</v>
      </c>
      <c r="F1" s="10" t="s">
        <v>34</v>
      </c>
      <c r="G1" s="10" t="s">
        <v>35</v>
      </c>
      <c r="H1" s="10" t="s">
        <v>45</v>
      </c>
      <c r="I1" s="10" t="s">
        <v>46</v>
      </c>
    </row>
    <row r="2" spans="1:9" x14ac:dyDescent="0.35">
      <c r="A2" s="11" t="s">
        <v>47</v>
      </c>
      <c r="B2" s="11" t="s">
        <v>48</v>
      </c>
      <c r="C2" s="11" t="s">
        <v>369</v>
      </c>
      <c r="D2" s="11" t="s">
        <v>29</v>
      </c>
      <c r="F2" t="str">
        <f t="shared" ref="F2:F33" si="0">IF(A2="","",A2)</f>
        <v>Disciplina Normal</v>
      </c>
      <c r="G2" t="str">
        <f t="shared" ref="G2:G33" si="1">IF(B2="","",B2)</f>
        <v>CAT-001</v>
      </c>
      <c r="H2" t="str">
        <f>IFERROR(INDEX(Listas!$K$2:$K$13,MATCH(C2,Listas!$J$2:$J$13,0)),"")</f>
        <v>internship</v>
      </c>
      <c r="I2" t="str">
        <f t="shared" ref="I2:I33" si="2">IF(D2="Sim","true",IF(D2="Não","false",""))</f>
        <v>false</v>
      </c>
    </row>
    <row r="3" spans="1:9" x14ac:dyDescent="0.35">
      <c r="F3" t="str">
        <f t="shared" si="0"/>
        <v/>
      </c>
      <c r="G3" t="str">
        <f t="shared" si="1"/>
        <v/>
      </c>
      <c r="H3" t="str">
        <f>IFERROR(INDEX(Listas!$K$2:$K$13,MATCH(C3,Listas!$J$2:$J$13,0)),"")</f>
        <v/>
      </c>
      <c r="I3" t="str">
        <f t="shared" si="2"/>
        <v/>
      </c>
    </row>
    <row r="4" spans="1:9" x14ac:dyDescent="0.35">
      <c r="F4" t="str">
        <f t="shared" si="0"/>
        <v/>
      </c>
      <c r="G4" t="str">
        <f t="shared" si="1"/>
        <v/>
      </c>
      <c r="H4" t="str">
        <f>IFERROR(INDEX(Listas!$K$2:$K$13,MATCH(C4,Listas!$J$2:$J$13,0)),"")</f>
        <v/>
      </c>
      <c r="I4" t="str">
        <f t="shared" si="2"/>
        <v/>
      </c>
    </row>
    <row r="5" spans="1:9" x14ac:dyDescent="0.35">
      <c r="F5" t="str">
        <f t="shared" si="0"/>
        <v/>
      </c>
      <c r="G5" t="str">
        <f t="shared" si="1"/>
        <v/>
      </c>
      <c r="H5" t="str">
        <f>IFERROR(INDEX(Listas!$K$2:$K$13,MATCH(C5,Listas!$J$2:$J$13,0)),"")</f>
        <v/>
      </c>
      <c r="I5" t="str">
        <f t="shared" si="2"/>
        <v/>
      </c>
    </row>
    <row r="6" spans="1:9" x14ac:dyDescent="0.35">
      <c r="F6" t="str">
        <f t="shared" si="0"/>
        <v/>
      </c>
      <c r="G6" t="str">
        <f t="shared" si="1"/>
        <v/>
      </c>
      <c r="H6" t="str">
        <f>IFERROR(INDEX(Listas!$K$2:$K$13,MATCH(C6,Listas!$J$2:$J$13,0)),"")</f>
        <v/>
      </c>
      <c r="I6" t="str">
        <f t="shared" si="2"/>
        <v/>
      </c>
    </row>
    <row r="7" spans="1:9" x14ac:dyDescent="0.35">
      <c r="F7" t="str">
        <f t="shared" si="0"/>
        <v/>
      </c>
      <c r="G7" t="str">
        <f t="shared" si="1"/>
        <v/>
      </c>
      <c r="H7" t="str">
        <f>IFERROR(INDEX(Listas!$K$2:$K$13,MATCH(C7,Listas!$J$2:$J$13,0)),"")</f>
        <v/>
      </c>
      <c r="I7" t="str">
        <f t="shared" si="2"/>
        <v/>
      </c>
    </row>
    <row r="8" spans="1:9" x14ac:dyDescent="0.35">
      <c r="F8" t="str">
        <f t="shared" si="0"/>
        <v/>
      </c>
      <c r="G8" t="str">
        <f t="shared" si="1"/>
        <v/>
      </c>
      <c r="H8" t="str">
        <f>IFERROR(INDEX(Listas!$K$2:$K$13,MATCH(C8,Listas!$J$2:$J$13,0)),"")</f>
        <v/>
      </c>
      <c r="I8" t="str">
        <f t="shared" si="2"/>
        <v/>
      </c>
    </row>
    <row r="9" spans="1:9" x14ac:dyDescent="0.35">
      <c r="F9" t="str">
        <f t="shared" si="0"/>
        <v/>
      </c>
      <c r="G9" t="str">
        <f t="shared" si="1"/>
        <v/>
      </c>
      <c r="H9" t="str">
        <f>IFERROR(INDEX(Listas!$K$2:$K$13,MATCH(C9,Listas!$J$2:$J$13,0)),"")</f>
        <v/>
      </c>
      <c r="I9" t="str">
        <f t="shared" si="2"/>
        <v/>
      </c>
    </row>
    <row r="10" spans="1:9" x14ac:dyDescent="0.35">
      <c r="F10" t="str">
        <f t="shared" si="0"/>
        <v/>
      </c>
      <c r="G10" t="str">
        <f t="shared" si="1"/>
        <v/>
      </c>
      <c r="H10" t="str">
        <f>IFERROR(INDEX(Listas!$K$2:$K$13,MATCH(C10,Listas!$J$2:$J$13,0)),"")</f>
        <v/>
      </c>
      <c r="I10" t="str">
        <f t="shared" si="2"/>
        <v/>
      </c>
    </row>
    <row r="11" spans="1:9" x14ac:dyDescent="0.35">
      <c r="F11" t="str">
        <f t="shared" si="0"/>
        <v/>
      </c>
      <c r="G11" t="str">
        <f t="shared" si="1"/>
        <v/>
      </c>
      <c r="H11" t="str">
        <f>IFERROR(INDEX(Listas!$K$2:$K$13,MATCH(C11,Listas!$J$2:$J$13,0)),"")</f>
        <v/>
      </c>
      <c r="I11" t="str">
        <f t="shared" si="2"/>
        <v/>
      </c>
    </row>
    <row r="12" spans="1:9" x14ac:dyDescent="0.35">
      <c r="F12" t="str">
        <f t="shared" si="0"/>
        <v/>
      </c>
      <c r="G12" t="str">
        <f t="shared" si="1"/>
        <v/>
      </c>
      <c r="H12" t="str">
        <f>IFERROR(INDEX(Listas!$K$2:$K$13,MATCH(C12,Listas!$J$2:$J$13,0)),"")</f>
        <v/>
      </c>
      <c r="I12" t="str">
        <f t="shared" si="2"/>
        <v/>
      </c>
    </row>
    <row r="13" spans="1:9" x14ac:dyDescent="0.35">
      <c r="F13" t="str">
        <f t="shared" si="0"/>
        <v/>
      </c>
      <c r="G13" t="str">
        <f t="shared" si="1"/>
        <v/>
      </c>
      <c r="H13" t="str">
        <f>IFERROR(INDEX(Listas!$K$2:$K$13,MATCH(C13,Listas!$J$2:$J$13,0)),"")</f>
        <v/>
      </c>
      <c r="I13" t="str">
        <f t="shared" si="2"/>
        <v/>
      </c>
    </row>
    <row r="14" spans="1:9" x14ac:dyDescent="0.35">
      <c r="F14" t="str">
        <f t="shared" si="0"/>
        <v/>
      </c>
      <c r="G14" t="str">
        <f t="shared" si="1"/>
        <v/>
      </c>
      <c r="H14" t="str">
        <f>IFERROR(INDEX(Listas!$K$2:$K$13,MATCH(C14,Listas!$J$2:$J$13,0)),"")</f>
        <v/>
      </c>
      <c r="I14" t="str">
        <f t="shared" si="2"/>
        <v/>
      </c>
    </row>
    <row r="15" spans="1:9" x14ac:dyDescent="0.35">
      <c r="F15" t="str">
        <f t="shared" si="0"/>
        <v/>
      </c>
      <c r="G15" t="str">
        <f t="shared" si="1"/>
        <v/>
      </c>
      <c r="H15" t="str">
        <f>IFERROR(INDEX(Listas!$K$2:$K$13,MATCH(C15,Listas!$J$2:$J$13,0)),"")</f>
        <v/>
      </c>
      <c r="I15" t="str">
        <f t="shared" si="2"/>
        <v/>
      </c>
    </row>
    <row r="16" spans="1:9" x14ac:dyDescent="0.35">
      <c r="F16" t="str">
        <f t="shared" si="0"/>
        <v/>
      </c>
      <c r="G16" t="str">
        <f t="shared" si="1"/>
        <v/>
      </c>
      <c r="H16" t="str">
        <f>IFERROR(INDEX(Listas!$K$2:$K$13,MATCH(C16,Listas!$J$2:$J$13,0)),"")</f>
        <v/>
      </c>
      <c r="I16" t="str">
        <f t="shared" si="2"/>
        <v/>
      </c>
    </row>
    <row r="17" spans="6:9" x14ac:dyDescent="0.35">
      <c r="F17" t="str">
        <f t="shared" si="0"/>
        <v/>
      </c>
      <c r="G17" t="str">
        <f t="shared" si="1"/>
        <v/>
      </c>
      <c r="H17" t="str">
        <f>IFERROR(INDEX(Listas!$K$2:$K$13,MATCH(C17,Listas!$J$2:$J$13,0)),"")</f>
        <v/>
      </c>
      <c r="I17" t="str">
        <f t="shared" si="2"/>
        <v/>
      </c>
    </row>
    <row r="18" spans="6:9" x14ac:dyDescent="0.35">
      <c r="F18" t="str">
        <f t="shared" si="0"/>
        <v/>
      </c>
      <c r="G18" t="str">
        <f t="shared" si="1"/>
        <v/>
      </c>
      <c r="H18" t="str">
        <f>IFERROR(INDEX(Listas!$K$2:$K$13,MATCH(C18,Listas!$J$2:$J$13,0)),"")</f>
        <v/>
      </c>
      <c r="I18" t="str">
        <f t="shared" si="2"/>
        <v/>
      </c>
    </row>
    <row r="19" spans="6:9" x14ac:dyDescent="0.35">
      <c r="F19" t="str">
        <f t="shared" si="0"/>
        <v/>
      </c>
      <c r="G19" t="str">
        <f t="shared" si="1"/>
        <v/>
      </c>
      <c r="H19" t="str">
        <f>IFERROR(INDEX(Listas!$K$2:$K$13,MATCH(C19,Listas!$J$2:$J$13,0)),"")</f>
        <v/>
      </c>
      <c r="I19" t="str">
        <f t="shared" si="2"/>
        <v/>
      </c>
    </row>
    <row r="20" spans="6:9" x14ac:dyDescent="0.35">
      <c r="F20" t="str">
        <f t="shared" si="0"/>
        <v/>
      </c>
      <c r="G20" t="str">
        <f t="shared" si="1"/>
        <v/>
      </c>
      <c r="H20" t="str">
        <f>IFERROR(INDEX(Listas!$K$2:$K$13,MATCH(C20,Listas!$J$2:$J$13,0)),"")</f>
        <v/>
      </c>
      <c r="I20" t="str">
        <f t="shared" si="2"/>
        <v/>
      </c>
    </row>
    <row r="21" spans="6:9" x14ac:dyDescent="0.35">
      <c r="F21" t="str">
        <f t="shared" si="0"/>
        <v/>
      </c>
      <c r="G21" t="str">
        <f t="shared" si="1"/>
        <v/>
      </c>
      <c r="H21" t="str">
        <f>IFERROR(INDEX(Listas!$K$2:$K$13,MATCH(C21,Listas!$J$2:$J$13,0)),"")</f>
        <v/>
      </c>
      <c r="I21" t="str">
        <f t="shared" si="2"/>
        <v/>
      </c>
    </row>
    <row r="22" spans="6:9" x14ac:dyDescent="0.35">
      <c r="F22" t="str">
        <f t="shared" si="0"/>
        <v/>
      </c>
      <c r="G22" t="str">
        <f t="shared" si="1"/>
        <v/>
      </c>
      <c r="H22" t="str">
        <f>IFERROR(INDEX(Listas!$K$2:$K$13,MATCH(C22,Listas!$J$2:$J$13,0)),"")</f>
        <v/>
      </c>
      <c r="I22" t="str">
        <f t="shared" si="2"/>
        <v/>
      </c>
    </row>
    <row r="23" spans="6:9" x14ac:dyDescent="0.35">
      <c r="F23" t="str">
        <f t="shared" si="0"/>
        <v/>
      </c>
      <c r="G23" t="str">
        <f t="shared" si="1"/>
        <v/>
      </c>
      <c r="H23" t="str">
        <f>IFERROR(INDEX(Listas!$K$2:$K$13,MATCH(C23,Listas!$J$2:$J$13,0)),"")</f>
        <v/>
      </c>
      <c r="I23" t="str">
        <f t="shared" si="2"/>
        <v/>
      </c>
    </row>
    <row r="24" spans="6:9" x14ac:dyDescent="0.35">
      <c r="F24" t="str">
        <f t="shared" si="0"/>
        <v/>
      </c>
      <c r="G24" t="str">
        <f t="shared" si="1"/>
        <v/>
      </c>
      <c r="H24" t="str">
        <f>IFERROR(INDEX(Listas!$K$2:$K$13,MATCH(C24,Listas!$J$2:$J$13,0)),"")</f>
        <v/>
      </c>
      <c r="I24" t="str">
        <f t="shared" si="2"/>
        <v/>
      </c>
    </row>
    <row r="25" spans="6:9" x14ac:dyDescent="0.35">
      <c r="F25" t="str">
        <f t="shared" si="0"/>
        <v/>
      </c>
      <c r="G25" t="str">
        <f t="shared" si="1"/>
        <v/>
      </c>
      <c r="H25" t="str">
        <f>IFERROR(INDEX(Listas!$K$2:$K$13,MATCH(C25,Listas!$J$2:$J$13,0)),"")</f>
        <v/>
      </c>
      <c r="I25" t="str">
        <f t="shared" si="2"/>
        <v/>
      </c>
    </row>
    <row r="26" spans="6:9" x14ac:dyDescent="0.35">
      <c r="F26" t="str">
        <f t="shared" si="0"/>
        <v/>
      </c>
      <c r="G26" t="str">
        <f t="shared" si="1"/>
        <v/>
      </c>
      <c r="H26" t="str">
        <f>IFERROR(INDEX(Listas!$K$2:$K$13,MATCH(C26,Listas!$J$2:$J$13,0)),"")</f>
        <v/>
      </c>
      <c r="I26" t="str">
        <f t="shared" si="2"/>
        <v/>
      </c>
    </row>
    <row r="27" spans="6:9" x14ac:dyDescent="0.35">
      <c r="F27" t="str">
        <f t="shared" si="0"/>
        <v/>
      </c>
      <c r="G27" t="str">
        <f t="shared" si="1"/>
        <v/>
      </c>
      <c r="H27" t="str">
        <f>IFERROR(INDEX(Listas!$K$2:$K$13,MATCH(C27,Listas!$J$2:$J$13,0)),"")</f>
        <v/>
      </c>
      <c r="I27" t="str">
        <f t="shared" si="2"/>
        <v/>
      </c>
    </row>
    <row r="28" spans="6:9" x14ac:dyDescent="0.35">
      <c r="F28" t="str">
        <f t="shared" si="0"/>
        <v/>
      </c>
      <c r="G28" t="str">
        <f t="shared" si="1"/>
        <v/>
      </c>
      <c r="H28" t="str">
        <f>IFERROR(INDEX(Listas!$K$2:$K$13,MATCH(C28,Listas!$J$2:$J$13,0)),"")</f>
        <v/>
      </c>
      <c r="I28" t="str">
        <f t="shared" si="2"/>
        <v/>
      </c>
    </row>
    <row r="29" spans="6:9" x14ac:dyDescent="0.35">
      <c r="F29" t="str">
        <f t="shared" si="0"/>
        <v/>
      </c>
      <c r="G29" t="str">
        <f t="shared" si="1"/>
        <v/>
      </c>
      <c r="H29" t="str">
        <f>IFERROR(INDEX(Listas!$K$2:$K$13,MATCH(C29,Listas!$J$2:$J$13,0)),"")</f>
        <v/>
      </c>
      <c r="I29" t="str">
        <f t="shared" si="2"/>
        <v/>
      </c>
    </row>
    <row r="30" spans="6:9" x14ac:dyDescent="0.35">
      <c r="F30" t="str">
        <f t="shared" si="0"/>
        <v/>
      </c>
      <c r="G30" t="str">
        <f t="shared" si="1"/>
        <v/>
      </c>
      <c r="H30" t="str">
        <f>IFERROR(INDEX(Listas!$K$2:$K$13,MATCH(C30,Listas!$J$2:$J$13,0)),"")</f>
        <v/>
      </c>
      <c r="I30" t="str">
        <f t="shared" si="2"/>
        <v/>
      </c>
    </row>
    <row r="31" spans="6:9" x14ac:dyDescent="0.35">
      <c r="F31" t="str">
        <f t="shared" si="0"/>
        <v/>
      </c>
      <c r="G31" t="str">
        <f t="shared" si="1"/>
        <v/>
      </c>
      <c r="H31" t="str">
        <f>IFERROR(INDEX(Listas!$K$2:$K$13,MATCH(C31,Listas!$J$2:$J$13,0)),"")</f>
        <v/>
      </c>
      <c r="I31" t="str">
        <f t="shared" si="2"/>
        <v/>
      </c>
    </row>
    <row r="32" spans="6:9" x14ac:dyDescent="0.35">
      <c r="F32" t="str">
        <f t="shared" si="0"/>
        <v/>
      </c>
      <c r="G32" t="str">
        <f t="shared" si="1"/>
        <v/>
      </c>
      <c r="H32" t="str">
        <f>IFERROR(INDEX(Listas!$K$2:$K$13,MATCH(C32,Listas!$J$2:$J$13,0)),"")</f>
        <v/>
      </c>
      <c r="I32" t="str">
        <f t="shared" si="2"/>
        <v/>
      </c>
    </row>
    <row r="33" spans="6:9" x14ac:dyDescent="0.35">
      <c r="F33" t="str">
        <f t="shared" si="0"/>
        <v/>
      </c>
      <c r="G33" t="str">
        <f t="shared" si="1"/>
        <v/>
      </c>
      <c r="H33" t="str">
        <f>IFERROR(INDEX(Listas!$K$2:$K$13,MATCH(C33,Listas!$J$2:$J$13,0)),"")</f>
        <v/>
      </c>
      <c r="I33" t="str">
        <f t="shared" si="2"/>
        <v/>
      </c>
    </row>
    <row r="34" spans="6:9" x14ac:dyDescent="0.35">
      <c r="F34" t="str">
        <f t="shared" ref="F34:F61" si="3">IF(A34="","",A34)</f>
        <v/>
      </c>
      <c r="G34" t="str">
        <f t="shared" ref="G34:G61" si="4">IF(B34="","",B34)</f>
        <v/>
      </c>
      <c r="H34" t="str">
        <f>IFERROR(INDEX(Listas!$K$2:$K$13,MATCH(C34,Listas!$J$2:$J$13,0)),"")</f>
        <v/>
      </c>
      <c r="I34" t="str">
        <f t="shared" ref="I34:I61" si="5">IF(D34="Sim","true",IF(D34="Não","false",""))</f>
        <v/>
      </c>
    </row>
    <row r="35" spans="6:9" x14ac:dyDescent="0.35">
      <c r="F35" t="str">
        <f t="shared" si="3"/>
        <v/>
      </c>
      <c r="G35" t="str">
        <f t="shared" si="4"/>
        <v/>
      </c>
      <c r="H35" t="str">
        <f>IFERROR(INDEX(Listas!$K$2:$K$13,MATCH(C35,Listas!$J$2:$J$13,0)),"")</f>
        <v/>
      </c>
      <c r="I35" t="str">
        <f t="shared" si="5"/>
        <v/>
      </c>
    </row>
    <row r="36" spans="6:9" x14ac:dyDescent="0.35">
      <c r="F36" t="str">
        <f t="shared" si="3"/>
        <v/>
      </c>
      <c r="G36" t="str">
        <f t="shared" si="4"/>
        <v/>
      </c>
      <c r="H36" t="str">
        <f>IFERROR(INDEX(Listas!$K$2:$K$13,MATCH(C36,Listas!$J$2:$J$13,0)),"")</f>
        <v/>
      </c>
      <c r="I36" t="str">
        <f t="shared" si="5"/>
        <v/>
      </c>
    </row>
    <row r="37" spans="6:9" x14ac:dyDescent="0.35">
      <c r="F37" t="str">
        <f t="shared" si="3"/>
        <v/>
      </c>
      <c r="G37" t="str">
        <f t="shared" si="4"/>
        <v/>
      </c>
      <c r="H37" t="str">
        <f>IFERROR(INDEX(Listas!$K$2:$K$13,MATCH(C37,Listas!$J$2:$J$13,0)),"")</f>
        <v/>
      </c>
      <c r="I37" t="str">
        <f t="shared" si="5"/>
        <v/>
      </c>
    </row>
    <row r="38" spans="6:9" x14ac:dyDescent="0.35">
      <c r="F38" t="str">
        <f t="shared" si="3"/>
        <v/>
      </c>
      <c r="G38" t="str">
        <f t="shared" si="4"/>
        <v/>
      </c>
      <c r="H38" t="str">
        <f>IFERROR(INDEX(Listas!$K$2:$K$13,MATCH(C38,Listas!$J$2:$J$13,0)),"")</f>
        <v/>
      </c>
      <c r="I38" t="str">
        <f t="shared" si="5"/>
        <v/>
      </c>
    </row>
    <row r="39" spans="6:9" x14ac:dyDescent="0.35">
      <c r="F39" t="str">
        <f t="shared" si="3"/>
        <v/>
      </c>
      <c r="G39" t="str">
        <f t="shared" si="4"/>
        <v/>
      </c>
      <c r="H39" t="str">
        <f>IFERROR(INDEX(Listas!$K$2:$K$13,MATCH(C39,Listas!$J$2:$J$13,0)),"")</f>
        <v/>
      </c>
      <c r="I39" t="str">
        <f t="shared" si="5"/>
        <v/>
      </c>
    </row>
    <row r="40" spans="6:9" x14ac:dyDescent="0.35">
      <c r="F40" t="str">
        <f t="shared" si="3"/>
        <v/>
      </c>
      <c r="G40" t="str">
        <f t="shared" si="4"/>
        <v/>
      </c>
      <c r="H40" t="str">
        <f>IFERROR(INDEX(Listas!$K$2:$K$13,MATCH(C40,Listas!$J$2:$J$13,0)),"")</f>
        <v/>
      </c>
      <c r="I40" t="str">
        <f t="shared" si="5"/>
        <v/>
      </c>
    </row>
    <row r="41" spans="6:9" x14ac:dyDescent="0.35">
      <c r="F41" t="str">
        <f t="shared" si="3"/>
        <v/>
      </c>
      <c r="G41" t="str">
        <f t="shared" si="4"/>
        <v/>
      </c>
      <c r="H41" t="str">
        <f>IFERROR(INDEX(Listas!$K$2:$K$13,MATCH(C41,Listas!$J$2:$J$13,0)),"")</f>
        <v/>
      </c>
      <c r="I41" t="str">
        <f t="shared" si="5"/>
        <v/>
      </c>
    </row>
    <row r="42" spans="6:9" x14ac:dyDescent="0.35">
      <c r="F42" t="str">
        <f t="shared" si="3"/>
        <v/>
      </c>
      <c r="G42" t="str">
        <f t="shared" si="4"/>
        <v/>
      </c>
      <c r="H42" t="str">
        <f>IFERROR(INDEX(Listas!$K$2:$K$13,MATCH(C42,Listas!$J$2:$J$13,0)),"")</f>
        <v/>
      </c>
      <c r="I42" t="str">
        <f t="shared" si="5"/>
        <v/>
      </c>
    </row>
    <row r="43" spans="6:9" x14ac:dyDescent="0.35">
      <c r="F43" t="str">
        <f t="shared" si="3"/>
        <v/>
      </c>
      <c r="G43" t="str">
        <f t="shared" si="4"/>
        <v/>
      </c>
      <c r="H43" t="str">
        <f>IFERROR(INDEX(Listas!$K$2:$K$13,MATCH(C43,Listas!$J$2:$J$13,0)),"")</f>
        <v/>
      </c>
      <c r="I43" t="str">
        <f t="shared" si="5"/>
        <v/>
      </c>
    </row>
    <row r="44" spans="6:9" x14ac:dyDescent="0.35">
      <c r="F44" t="str">
        <f t="shared" si="3"/>
        <v/>
      </c>
      <c r="G44" t="str">
        <f t="shared" si="4"/>
        <v/>
      </c>
      <c r="H44" t="str">
        <f>IFERROR(INDEX(Listas!$K$2:$K$13,MATCH(C44,Listas!$J$2:$J$13,0)),"")</f>
        <v/>
      </c>
      <c r="I44" t="str">
        <f t="shared" si="5"/>
        <v/>
      </c>
    </row>
    <row r="45" spans="6:9" x14ac:dyDescent="0.35">
      <c r="F45" t="str">
        <f t="shared" si="3"/>
        <v/>
      </c>
      <c r="G45" t="str">
        <f t="shared" si="4"/>
        <v/>
      </c>
      <c r="H45" t="str">
        <f>IFERROR(INDEX(Listas!$K$2:$K$13,MATCH(C45,Listas!$J$2:$J$13,0)),"")</f>
        <v/>
      </c>
      <c r="I45" t="str">
        <f t="shared" si="5"/>
        <v/>
      </c>
    </row>
    <row r="46" spans="6:9" x14ac:dyDescent="0.35">
      <c r="F46" t="str">
        <f t="shared" si="3"/>
        <v/>
      </c>
      <c r="G46" t="str">
        <f t="shared" si="4"/>
        <v/>
      </c>
      <c r="H46" t="str">
        <f>IFERROR(INDEX(Listas!$K$2:$K$13,MATCH(C46,Listas!$J$2:$J$13,0)),"")</f>
        <v/>
      </c>
      <c r="I46" t="str">
        <f t="shared" si="5"/>
        <v/>
      </c>
    </row>
    <row r="47" spans="6:9" x14ac:dyDescent="0.35">
      <c r="F47" t="str">
        <f t="shared" si="3"/>
        <v/>
      </c>
      <c r="G47" t="str">
        <f t="shared" si="4"/>
        <v/>
      </c>
      <c r="H47" t="str">
        <f>IFERROR(INDEX(Listas!$K$2:$K$13,MATCH(C47,Listas!$J$2:$J$13,0)),"")</f>
        <v/>
      </c>
      <c r="I47" t="str">
        <f t="shared" si="5"/>
        <v/>
      </c>
    </row>
    <row r="48" spans="6:9" x14ac:dyDescent="0.35">
      <c r="F48" t="str">
        <f t="shared" si="3"/>
        <v/>
      </c>
      <c r="G48" t="str">
        <f t="shared" si="4"/>
        <v/>
      </c>
      <c r="H48" t="str">
        <f>IFERROR(INDEX(Listas!$K$2:$K$13,MATCH(C48,Listas!$J$2:$J$13,0)),"")</f>
        <v/>
      </c>
      <c r="I48" t="str">
        <f t="shared" si="5"/>
        <v/>
      </c>
    </row>
    <row r="49" spans="6:9" x14ac:dyDescent="0.35">
      <c r="F49" t="str">
        <f t="shared" si="3"/>
        <v/>
      </c>
      <c r="G49" t="str">
        <f t="shared" si="4"/>
        <v/>
      </c>
      <c r="H49" t="str">
        <f>IFERROR(INDEX(Listas!$K$2:$K$13,MATCH(C49,Listas!$J$2:$J$13,0)),"")</f>
        <v/>
      </c>
      <c r="I49" t="str">
        <f t="shared" si="5"/>
        <v/>
      </c>
    </row>
    <row r="50" spans="6:9" x14ac:dyDescent="0.35">
      <c r="F50" t="str">
        <f t="shared" si="3"/>
        <v/>
      </c>
      <c r="G50" t="str">
        <f t="shared" si="4"/>
        <v/>
      </c>
      <c r="H50" t="str">
        <f>IFERROR(INDEX(Listas!$K$2:$K$13,MATCH(C50,Listas!$J$2:$J$13,0)),"")</f>
        <v/>
      </c>
      <c r="I50" t="str">
        <f t="shared" si="5"/>
        <v/>
      </c>
    </row>
    <row r="51" spans="6:9" x14ac:dyDescent="0.35">
      <c r="F51" t="str">
        <f t="shared" si="3"/>
        <v/>
      </c>
      <c r="G51" t="str">
        <f t="shared" si="4"/>
        <v/>
      </c>
      <c r="H51" t="str">
        <f>IFERROR(INDEX(Listas!$K$2:$K$13,MATCH(C51,Listas!$J$2:$J$13,0)),"")</f>
        <v/>
      </c>
      <c r="I51" t="str">
        <f t="shared" si="5"/>
        <v/>
      </c>
    </row>
    <row r="52" spans="6:9" x14ac:dyDescent="0.35">
      <c r="F52" t="str">
        <f t="shared" si="3"/>
        <v/>
      </c>
      <c r="G52" t="str">
        <f t="shared" si="4"/>
        <v/>
      </c>
      <c r="H52" t="str">
        <f>IFERROR(INDEX(Listas!$K$2:$K$13,MATCH(C52,Listas!$J$2:$J$13,0)),"")</f>
        <v/>
      </c>
      <c r="I52" t="str">
        <f t="shared" si="5"/>
        <v/>
      </c>
    </row>
    <row r="53" spans="6:9" x14ac:dyDescent="0.35">
      <c r="F53" t="str">
        <f t="shared" si="3"/>
        <v/>
      </c>
      <c r="G53" t="str">
        <f t="shared" si="4"/>
        <v/>
      </c>
      <c r="H53" t="str">
        <f>IFERROR(INDEX(Listas!$K$2:$K$13,MATCH(C53,Listas!$J$2:$J$13,0)),"")</f>
        <v/>
      </c>
      <c r="I53" t="str">
        <f t="shared" si="5"/>
        <v/>
      </c>
    </row>
    <row r="54" spans="6:9" x14ac:dyDescent="0.35">
      <c r="F54" t="str">
        <f t="shared" si="3"/>
        <v/>
      </c>
      <c r="G54" t="str">
        <f t="shared" si="4"/>
        <v/>
      </c>
      <c r="H54" t="str">
        <f>IFERROR(INDEX(Listas!$K$2:$K$13,MATCH(C54,Listas!$J$2:$J$13,0)),"")</f>
        <v/>
      </c>
      <c r="I54" t="str">
        <f t="shared" si="5"/>
        <v/>
      </c>
    </row>
    <row r="55" spans="6:9" x14ac:dyDescent="0.35">
      <c r="F55" t="str">
        <f t="shared" si="3"/>
        <v/>
      </c>
      <c r="G55" t="str">
        <f t="shared" si="4"/>
        <v/>
      </c>
      <c r="H55" t="str">
        <f>IFERROR(INDEX(Listas!$K$2:$K$13,MATCH(C55,Listas!$J$2:$J$13,0)),"")</f>
        <v/>
      </c>
      <c r="I55" t="str">
        <f t="shared" si="5"/>
        <v/>
      </c>
    </row>
    <row r="56" spans="6:9" x14ac:dyDescent="0.35">
      <c r="F56" t="str">
        <f t="shared" si="3"/>
        <v/>
      </c>
      <c r="G56" t="str">
        <f t="shared" si="4"/>
        <v/>
      </c>
      <c r="H56" t="str">
        <f>IFERROR(INDEX(Listas!$K$2:$K$13,MATCH(C56,Listas!$J$2:$J$13,0)),"")</f>
        <v/>
      </c>
      <c r="I56" t="str">
        <f t="shared" si="5"/>
        <v/>
      </c>
    </row>
    <row r="57" spans="6:9" x14ac:dyDescent="0.35">
      <c r="F57" t="str">
        <f t="shared" si="3"/>
        <v/>
      </c>
      <c r="G57" t="str">
        <f t="shared" si="4"/>
        <v/>
      </c>
      <c r="H57" t="str">
        <f>IFERROR(INDEX(Listas!$K$2:$K$13,MATCH(C57,Listas!$J$2:$J$13,0)),"")</f>
        <v/>
      </c>
      <c r="I57" t="str">
        <f t="shared" si="5"/>
        <v/>
      </c>
    </row>
    <row r="58" spans="6:9" x14ac:dyDescent="0.35">
      <c r="F58" t="str">
        <f t="shared" si="3"/>
        <v/>
      </c>
      <c r="G58" t="str">
        <f t="shared" si="4"/>
        <v/>
      </c>
      <c r="H58" t="str">
        <f>IFERROR(INDEX(Listas!$K$2:$K$13,MATCH(C58,Listas!$J$2:$J$13,0)),"")</f>
        <v/>
      </c>
      <c r="I58" t="str">
        <f t="shared" si="5"/>
        <v/>
      </c>
    </row>
    <row r="59" spans="6:9" x14ac:dyDescent="0.35">
      <c r="F59" t="str">
        <f t="shared" si="3"/>
        <v/>
      </c>
      <c r="G59" t="str">
        <f t="shared" si="4"/>
        <v/>
      </c>
      <c r="H59" t="str">
        <f>IFERROR(INDEX(Listas!$K$2:$K$13,MATCH(C59,Listas!$J$2:$J$13,0)),"")</f>
        <v/>
      </c>
      <c r="I59" t="str">
        <f t="shared" si="5"/>
        <v/>
      </c>
    </row>
    <row r="60" spans="6:9" x14ac:dyDescent="0.35">
      <c r="F60" t="str">
        <f t="shared" si="3"/>
        <v/>
      </c>
      <c r="G60" t="str">
        <f t="shared" si="4"/>
        <v/>
      </c>
      <c r="H60" t="str">
        <f>IFERROR(INDEX(Listas!$K$2:$K$13,MATCH(C60,Listas!$J$2:$J$13,0)),"")</f>
        <v/>
      </c>
      <c r="I60" t="str">
        <f t="shared" si="5"/>
        <v/>
      </c>
    </row>
    <row r="61" spans="6:9" x14ac:dyDescent="0.35">
      <c r="F61" t="str">
        <f t="shared" si="3"/>
        <v/>
      </c>
      <c r="G61" t="str">
        <f t="shared" si="4"/>
        <v/>
      </c>
      <c r="H61" t="str">
        <f>IFERROR(INDEX(Listas!$K$2:$K$13,MATCH(C61,Listas!$J$2:$J$13,0)),"")</f>
        <v/>
      </c>
      <c r="I61" t="str">
        <f t="shared" si="5"/>
        <v/>
      </c>
    </row>
  </sheetData>
  <autoFilter ref="A1:D1"/>
  <conditionalFormatting sqref="A3:A61">
    <cfRule type="expression" dxfId="99" priority="2">
      <formula>AND($A3="",COUNTA($A3:$D3)&gt;0)</formula>
    </cfRule>
  </conditionalFormatting>
  <conditionalFormatting sqref="B3:B61">
    <cfRule type="expression" dxfId="98" priority="3">
      <formula>AND($B3="",COUNTA($A3:$D3)&gt;0)</formula>
    </cfRule>
  </conditionalFormatting>
  <conditionalFormatting sqref="C3:C61">
    <cfRule type="expression" dxfId="97" priority="4">
      <formula>AND($C3="",COUNTA($A3:$D3)&gt;0)</formula>
    </cfRule>
  </conditionalFormatting>
  <conditionalFormatting sqref="D3:D61">
    <cfRule type="expression" dxfId="96" priority="5">
      <formula>AND($D3="",COUNTA($A3:$D3)&gt;0)</formula>
    </cfRule>
  </conditionalFormatting>
  <dataValidations count="3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00 caracteres" sqref="A2:A61">
      <formula1>100</formula1>
      <formula2>0</formula2>
    </dataValidation>
    <dataValidation type="list" allowBlank="1" sqref="D2:D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Listas!$J$2:$J$13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E61"/>
  <sheetViews>
    <sheetView zoomScaleNormal="100" workbookViewId="0">
      <pane ySplit="1" topLeftCell="A2" activePane="bottomLeft" state="frozen"/>
      <selection pane="bottomLeft" activeCell="A3" sqref="A3"/>
    </sheetView>
  </sheetViews>
  <sheetFormatPr defaultColWidth="8.54296875" defaultRowHeight="14.5" x14ac:dyDescent="0.35"/>
  <cols>
    <col min="1" max="1" width="20" customWidth="1"/>
    <col min="2" max="2" width="16" customWidth="1"/>
    <col min="4" max="5" width="16" hidden="1" customWidth="1"/>
  </cols>
  <sheetData>
    <row r="1" spans="1:5" ht="31.5" customHeight="1" x14ac:dyDescent="0.35">
      <c r="A1" s="9" t="s">
        <v>31</v>
      </c>
      <c r="B1" s="9" t="s">
        <v>32</v>
      </c>
      <c r="D1" s="10" t="s">
        <v>34</v>
      </c>
      <c r="E1" s="10" t="s">
        <v>35</v>
      </c>
    </row>
    <row r="2" spans="1:5" x14ac:dyDescent="0.35">
      <c r="A2" s="11" t="s">
        <v>50</v>
      </c>
      <c r="B2" s="11" t="s">
        <v>51</v>
      </c>
      <c r="D2" t="str">
        <f t="shared" ref="D2:D33" si="0">IF(A2="","",A2)</f>
        <v>Manhã</v>
      </c>
      <c r="E2" t="str">
        <f t="shared" ref="E2:E33" si="1">IF(B2="","",B2)</f>
        <v>TUR-001</v>
      </c>
    </row>
    <row r="3" spans="1:5" x14ac:dyDescent="0.35">
      <c r="D3" t="str">
        <f t="shared" si="0"/>
        <v/>
      </c>
      <c r="E3" t="str">
        <f t="shared" si="1"/>
        <v/>
      </c>
    </row>
    <row r="4" spans="1:5" x14ac:dyDescent="0.35">
      <c r="D4" t="str">
        <f t="shared" si="0"/>
        <v/>
      </c>
      <c r="E4" t="str">
        <f t="shared" si="1"/>
        <v/>
      </c>
    </row>
    <row r="5" spans="1:5" x14ac:dyDescent="0.35">
      <c r="D5" t="str">
        <f t="shared" si="0"/>
        <v/>
      </c>
      <c r="E5" t="str">
        <f t="shared" si="1"/>
        <v/>
      </c>
    </row>
    <row r="6" spans="1:5" x14ac:dyDescent="0.35">
      <c r="D6" t="str">
        <f t="shared" si="0"/>
        <v/>
      </c>
      <c r="E6" t="str">
        <f t="shared" si="1"/>
        <v/>
      </c>
    </row>
    <row r="7" spans="1:5" x14ac:dyDescent="0.35">
      <c r="D7" t="str">
        <f t="shared" si="0"/>
        <v/>
      </c>
      <c r="E7" t="str">
        <f t="shared" si="1"/>
        <v/>
      </c>
    </row>
    <row r="8" spans="1:5" x14ac:dyDescent="0.35">
      <c r="D8" t="str">
        <f t="shared" si="0"/>
        <v/>
      </c>
      <c r="E8" t="str">
        <f t="shared" si="1"/>
        <v/>
      </c>
    </row>
    <row r="9" spans="1:5" x14ac:dyDescent="0.35">
      <c r="D9" t="str">
        <f t="shared" si="0"/>
        <v/>
      </c>
      <c r="E9" t="str">
        <f t="shared" si="1"/>
        <v/>
      </c>
    </row>
    <row r="10" spans="1:5" x14ac:dyDescent="0.35">
      <c r="D10" t="str">
        <f t="shared" si="0"/>
        <v/>
      </c>
      <c r="E10" t="str">
        <f t="shared" si="1"/>
        <v/>
      </c>
    </row>
    <row r="11" spans="1:5" x14ac:dyDescent="0.35">
      <c r="D11" t="str">
        <f t="shared" si="0"/>
        <v/>
      </c>
      <c r="E11" t="str">
        <f t="shared" si="1"/>
        <v/>
      </c>
    </row>
    <row r="12" spans="1:5" x14ac:dyDescent="0.35">
      <c r="D12" t="str">
        <f t="shared" si="0"/>
        <v/>
      </c>
      <c r="E12" t="str">
        <f t="shared" si="1"/>
        <v/>
      </c>
    </row>
    <row r="13" spans="1:5" x14ac:dyDescent="0.35">
      <c r="D13" t="str">
        <f t="shared" si="0"/>
        <v/>
      </c>
      <c r="E13" t="str">
        <f t="shared" si="1"/>
        <v/>
      </c>
    </row>
    <row r="14" spans="1:5" x14ac:dyDescent="0.35">
      <c r="D14" t="str">
        <f t="shared" si="0"/>
        <v/>
      </c>
      <c r="E14" t="str">
        <f t="shared" si="1"/>
        <v/>
      </c>
    </row>
    <row r="15" spans="1:5" x14ac:dyDescent="0.35">
      <c r="D15" t="str">
        <f t="shared" si="0"/>
        <v/>
      </c>
      <c r="E15" t="str">
        <f t="shared" si="1"/>
        <v/>
      </c>
    </row>
    <row r="16" spans="1:5" x14ac:dyDescent="0.35">
      <c r="D16" t="str">
        <f t="shared" si="0"/>
        <v/>
      </c>
      <c r="E16" t="str">
        <f t="shared" si="1"/>
        <v/>
      </c>
    </row>
    <row r="17" spans="4:5" x14ac:dyDescent="0.35">
      <c r="D17" t="str">
        <f t="shared" si="0"/>
        <v/>
      </c>
      <c r="E17" t="str">
        <f t="shared" si="1"/>
        <v/>
      </c>
    </row>
    <row r="18" spans="4:5" x14ac:dyDescent="0.35">
      <c r="D18" t="str">
        <f t="shared" si="0"/>
        <v/>
      </c>
      <c r="E18" t="str">
        <f t="shared" si="1"/>
        <v/>
      </c>
    </row>
    <row r="19" spans="4:5" x14ac:dyDescent="0.35">
      <c r="D19" t="str">
        <f t="shared" si="0"/>
        <v/>
      </c>
      <c r="E19" t="str">
        <f t="shared" si="1"/>
        <v/>
      </c>
    </row>
    <row r="20" spans="4:5" x14ac:dyDescent="0.35">
      <c r="D20" t="str">
        <f t="shared" si="0"/>
        <v/>
      </c>
      <c r="E20" t="str">
        <f t="shared" si="1"/>
        <v/>
      </c>
    </row>
    <row r="21" spans="4:5" x14ac:dyDescent="0.35">
      <c r="D21" t="str">
        <f t="shared" si="0"/>
        <v/>
      </c>
      <c r="E21" t="str">
        <f t="shared" si="1"/>
        <v/>
      </c>
    </row>
    <row r="22" spans="4:5" x14ac:dyDescent="0.35">
      <c r="D22" t="str">
        <f t="shared" si="0"/>
        <v/>
      </c>
      <c r="E22" t="str">
        <f t="shared" si="1"/>
        <v/>
      </c>
    </row>
    <row r="23" spans="4:5" x14ac:dyDescent="0.35">
      <c r="D23" t="str">
        <f t="shared" si="0"/>
        <v/>
      </c>
      <c r="E23" t="str">
        <f t="shared" si="1"/>
        <v/>
      </c>
    </row>
    <row r="24" spans="4:5" x14ac:dyDescent="0.35">
      <c r="D24" t="str">
        <f t="shared" si="0"/>
        <v/>
      </c>
      <c r="E24" t="str">
        <f t="shared" si="1"/>
        <v/>
      </c>
    </row>
    <row r="25" spans="4:5" x14ac:dyDescent="0.35">
      <c r="D25" t="str">
        <f t="shared" si="0"/>
        <v/>
      </c>
      <c r="E25" t="str">
        <f t="shared" si="1"/>
        <v/>
      </c>
    </row>
    <row r="26" spans="4:5" x14ac:dyDescent="0.35">
      <c r="D26" t="str">
        <f t="shared" si="0"/>
        <v/>
      </c>
      <c r="E26" t="str">
        <f t="shared" si="1"/>
        <v/>
      </c>
    </row>
    <row r="27" spans="4:5" x14ac:dyDescent="0.35">
      <c r="D27" t="str">
        <f t="shared" si="0"/>
        <v/>
      </c>
      <c r="E27" t="str">
        <f t="shared" si="1"/>
        <v/>
      </c>
    </row>
    <row r="28" spans="4:5" x14ac:dyDescent="0.35">
      <c r="D28" t="str">
        <f t="shared" si="0"/>
        <v/>
      </c>
      <c r="E28" t="str">
        <f t="shared" si="1"/>
        <v/>
      </c>
    </row>
    <row r="29" spans="4:5" x14ac:dyDescent="0.35">
      <c r="D29" t="str">
        <f t="shared" si="0"/>
        <v/>
      </c>
      <c r="E29" t="str">
        <f t="shared" si="1"/>
        <v/>
      </c>
    </row>
    <row r="30" spans="4:5" x14ac:dyDescent="0.35">
      <c r="D30" t="str">
        <f t="shared" si="0"/>
        <v/>
      </c>
      <c r="E30" t="str">
        <f t="shared" si="1"/>
        <v/>
      </c>
    </row>
    <row r="31" spans="4:5" x14ac:dyDescent="0.35">
      <c r="D31" t="str">
        <f t="shared" si="0"/>
        <v/>
      </c>
      <c r="E31" t="str">
        <f t="shared" si="1"/>
        <v/>
      </c>
    </row>
    <row r="32" spans="4:5" x14ac:dyDescent="0.35">
      <c r="D32" t="str">
        <f t="shared" si="0"/>
        <v/>
      </c>
      <c r="E32" t="str">
        <f t="shared" si="1"/>
        <v/>
      </c>
    </row>
    <row r="33" spans="4:5" x14ac:dyDescent="0.35">
      <c r="D33" t="str">
        <f t="shared" si="0"/>
        <v/>
      </c>
      <c r="E33" t="str">
        <f t="shared" si="1"/>
        <v/>
      </c>
    </row>
    <row r="34" spans="4:5" x14ac:dyDescent="0.35">
      <c r="D34" t="str">
        <f t="shared" ref="D34:D61" si="2">IF(A34="","",A34)</f>
        <v/>
      </c>
      <c r="E34" t="str">
        <f t="shared" ref="E34:E61" si="3">IF(B34="","",B34)</f>
        <v/>
      </c>
    </row>
    <row r="35" spans="4:5" x14ac:dyDescent="0.35">
      <c r="D35" t="str">
        <f t="shared" si="2"/>
        <v/>
      </c>
      <c r="E35" t="str">
        <f t="shared" si="3"/>
        <v/>
      </c>
    </row>
    <row r="36" spans="4:5" x14ac:dyDescent="0.35">
      <c r="D36" t="str">
        <f t="shared" si="2"/>
        <v/>
      </c>
      <c r="E36" t="str">
        <f t="shared" si="3"/>
        <v/>
      </c>
    </row>
    <row r="37" spans="4:5" x14ac:dyDescent="0.35">
      <c r="D37" t="str">
        <f t="shared" si="2"/>
        <v/>
      </c>
      <c r="E37" t="str">
        <f t="shared" si="3"/>
        <v/>
      </c>
    </row>
    <row r="38" spans="4:5" x14ac:dyDescent="0.35">
      <c r="D38" t="str">
        <f t="shared" si="2"/>
        <v/>
      </c>
      <c r="E38" t="str">
        <f t="shared" si="3"/>
        <v/>
      </c>
    </row>
    <row r="39" spans="4:5" x14ac:dyDescent="0.35">
      <c r="D39" t="str">
        <f t="shared" si="2"/>
        <v/>
      </c>
      <c r="E39" t="str">
        <f t="shared" si="3"/>
        <v/>
      </c>
    </row>
    <row r="40" spans="4:5" x14ac:dyDescent="0.35">
      <c r="D40" t="str">
        <f t="shared" si="2"/>
        <v/>
      </c>
      <c r="E40" t="str">
        <f t="shared" si="3"/>
        <v/>
      </c>
    </row>
    <row r="41" spans="4:5" x14ac:dyDescent="0.35">
      <c r="D41" t="str">
        <f t="shared" si="2"/>
        <v/>
      </c>
      <c r="E41" t="str">
        <f t="shared" si="3"/>
        <v/>
      </c>
    </row>
    <row r="42" spans="4:5" x14ac:dyDescent="0.35">
      <c r="D42" t="str">
        <f t="shared" si="2"/>
        <v/>
      </c>
      <c r="E42" t="str">
        <f t="shared" si="3"/>
        <v/>
      </c>
    </row>
    <row r="43" spans="4:5" x14ac:dyDescent="0.35">
      <c r="D43" t="str">
        <f t="shared" si="2"/>
        <v/>
      </c>
      <c r="E43" t="str">
        <f t="shared" si="3"/>
        <v/>
      </c>
    </row>
    <row r="44" spans="4:5" x14ac:dyDescent="0.35">
      <c r="D44" t="str">
        <f t="shared" si="2"/>
        <v/>
      </c>
      <c r="E44" t="str">
        <f t="shared" si="3"/>
        <v/>
      </c>
    </row>
    <row r="45" spans="4:5" x14ac:dyDescent="0.35">
      <c r="D45" t="str">
        <f t="shared" si="2"/>
        <v/>
      </c>
      <c r="E45" t="str">
        <f t="shared" si="3"/>
        <v/>
      </c>
    </row>
    <row r="46" spans="4:5" x14ac:dyDescent="0.35">
      <c r="D46" t="str">
        <f t="shared" si="2"/>
        <v/>
      </c>
      <c r="E46" t="str">
        <f t="shared" si="3"/>
        <v/>
      </c>
    </row>
    <row r="47" spans="4:5" x14ac:dyDescent="0.35">
      <c r="D47" t="str">
        <f t="shared" si="2"/>
        <v/>
      </c>
      <c r="E47" t="str">
        <f t="shared" si="3"/>
        <v/>
      </c>
    </row>
    <row r="48" spans="4:5" x14ac:dyDescent="0.35">
      <c r="D48" t="str">
        <f t="shared" si="2"/>
        <v/>
      </c>
      <c r="E48" t="str">
        <f t="shared" si="3"/>
        <v/>
      </c>
    </row>
    <row r="49" spans="4:5" x14ac:dyDescent="0.35">
      <c r="D49" t="str">
        <f t="shared" si="2"/>
        <v/>
      </c>
      <c r="E49" t="str">
        <f t="shared" si="3"/>
        <v/>
      </c>
    </row>
    <row r="50" spans="4:5" x14ac:dyDescent="0.35">
      <c r="D50" t="str">
        <f t="shared" si="2"/>
        <v/>
      </c>
      <c r="E50" t="str">
        <f t="shared" si="3"/>
        <v/>
      </c>
    </row>
    <row r="51" spans="4:5" x14ac:dyDescent="0.35">
      <c r="D51" t="str">
        <f t="shared" si="2"/>
        <v/>
      </c>
      <c r="E51" t="str">
        <f t="shared" si="3"/>
        <v/>
      </c>
    </row>
    <row r="52" spans="4:5" x14ac:dyDescent="0.35">
      <c r="D52" t="str">
        <f t="shared" si="2"/>
        <v/>
      </c>
      <c r="E52" t="str">
        <f t="shared" si="3"/>
        <v/>
      </c>
    </row>
    <row r="53" spans="4:5" x14ac:dyDescent="0.35">
      <c r="D53" t="str">
        <f t="shared" si="2"/>
        <v/>
      </c>
      <c r="E53" t="str">
        <f t="shared" si="3"/>
        <v/>
      </c>
    </row>
    <row r="54" spans="4:5" x14ac:dyDescent="0.35">
      <c r="D54" t="str">
        <f t="shared" si="2"/>
        <v/>
      </c>
      <c r="E54" t="str">
        <f t="shared" si="3"/>
        <v/>
      </c>
    </row>
    <row r="55" spans="4:5" x14ac:dyDescent="0.35">
      <c r="D55" t="str">
        <f t="shared" si="2"/>
        <v/>
      </c>
      <c r="E55" t="str">
        <f t="shared" si="3"/>
        <v/>
      </c>
    </row>
    <row r="56" spans="4:5" x14ac:dyDescent="0.35">
      <c r="D56" t="str">
        <f t="shared" si="2"/>
        <v/>
      </c>
      <c r="E56" t="str">
        <f t="shared" si="3"/>
        <v/>
      </c>
    </row>
    <row r="57" spans="4:5" x14ac:dyDescent="0.35">
      <c r="D57" t="str">
        <f t="shared" si="2"/>
        <v/>
      </c>
      <c r="E57" t="str">
        <f t="shared" si="3"/>
        <v/>
      </c>
    </row>
    <row r="58" spans="4:5" x14ac:dyDescent="0.35">
      <c r="D58" t="str">
        <f t="shared" si="2"/>
        <v/>
      </c>
      <c r="E58" t="str">
        <f t="shared" si="3"/>
        <v/>
      </c>
    </row>
    <row r="59" spans="4:5" x14ac:dyDescent="0.35">
      <c r="D59" t="str">
        <f t="shared" si="2"/>
        <v/>
      </c>
      <c r="E59" t="str">
        <f t="shared" si="3"/>
        <v/>
      </c>
    </row>
    <row r="60" spans="4:5" x14ac:dyDescent="0.35">
      <c r="D60" t="str">
        <f t="shared" si="2"/>
        <v/>
      </c>
      <c r="E60" t="str">
        <f t="shared" si="3"/>
        <v/>
      </c>
    </row>
    <row r="61" spans="4:5" x14ac:dyDescent="0.35">
      <c r="D61" t="str">
        <f t="shared" si="2"/>
        <v/>
      </c>
      <c r="E61" t="str">
        <f t="shared" si="3"/>
        <v/>
      </c>
    </row>
  </sheetData>
  <autoFilter ref="A1:B1"/>
  <conditionalFormatting sqref="A3:A61">
    <cfRule type="expression" dxfId="95" priority="2">
      <formula>AND($A3="",COUNTA($A3:$B3)&gt;0)</formula>
    </cfRule>
  </conditionalFormatting>
  <conditionalFormatting sqref="B3:B61">
    <cfRule type="expression" dxfId="94" priority="3">
      <formula>AND($B3="",COUNTA($A3:$B3)&gt;0)</formula>
    </cfRule>
  </conditionalFormatting>
  <dataValidations count="1">
    <dataValidation type="textLength" operator="lessThanOrEqual" allowBlank="1" errorTitle="Texto muito longo" error="Máximo de 50 caracteres" sqref="A2:B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I61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28" customWidth="1"/>
    <col min="2" max="2" width="16" customWidth="1"/>
    <col min="3" max="3" width="20" customWidth="1"/>
    <col min="4" max="4" width="10" customWidth="1"/>
    <col min="6" max="9" width="16" hidden="1" customWidth="1"/>
  </cols>
  <sheetData>
    <row r="1" spans="1:9" ht="31.5" customHeight="1" x14ac:dyDescent="0.35">
      <c r="A1" s="9" t="s">
        <v>31</v>
      </c>
      <c r="B1" s="9" t="s">
        <v>32</v>
      </c>
      <c r="C1" s="9" t="s">
        <v>52</v>
      </c>
      <c r="D1" s="9" t="s">
        <v>53</v>
      </c>
      <c r="F1" s="10" t="s">
        <v>34</v>
      </c>
      <c r="G1" s="10" t="s">
        <v>35</v>
      </c>
      <c r="H1" s="10" t="s">
        <v>54</v>
      </c>
      <c r="I1" s="10" t="s">
        <v>46</v>
      </c>
    </row>
    <row r="2" spans="1:9" x14ac:dyDescent="0.35">
      <c r="A2" s="11" t="s">
        <v>27</v>
      </c>
      <c r="B2" s="11" t="s">
        <v>55</v>
      </c>
      <c r="C2" s="11" t="s">
        <v>56</v>
      </c>
      <c r="D2" s="11" t="s">
        <v>49</v>
      </c>
      <c r="F2" t="str">
        <f t="shared" ref="F2:F33" si="0">IF(A2="","",A2)</f>
        <v>Campus Nova Iguaçu</v>
      </c>
      <c r="G2" t="str">
        <f t="shared" ref="G2:G33" si="1">IF(B2="","",B2)</f>
        <v>CAMP-001</v>
      </c>
      <c r="H2" t="str">
        <f t="shared" ref="H2:H33" si="2">IF(C2="","",C2)</f>
        <v>12345678000199</v>
      </c>
      <c r="I2" t="str">
        <f t="shared" ref="I2:I33" si="3">IF(D2="Sim","true",IF(D2="Não","false",""))</f>
        <v>true</v>
      </c>
    </row>
    <row r="3" spans="1:9" x14ac:dyDescent="0.35">
      <c r="F3" t="str">
        <f t="shared" si="0"/>
        <v/>
      </c>
      <c r="G3" t="str">
        <f t="shared" si="1"/>
        <v/>
      </c>
      <c r="H3" t="str">
        <f t="shared" si="2"/>
        <v/>
      </c>
      <c r="I3" t="str">
        <f t="shared" si="3"/>
        <v/>
      </c>
    </row>
    <row r="4" spans="1:9" x14ac:dyDescent="0.35">
      <c r="F4" t="str">
        <f t="shared" si="0"/>
        <v/>
      </c>
      <c r="G4" t="str">
        <f t="shared" si="1"/>
        <v/>
      </c>
      <c r="H4" t="str">
        <f t="shared" si="2"/>
        <v/>
      </c>
      <c r="I4" t="str">
        <f t="shared" si="3"/>
        <v/>
      </c>
    </row>
    <row r="5" spans="1:9" x14ac:dyDescent="0.35">
      <c r="F5" t="str">
        <f t="shared" si="0"/>
        <v/>
      </c>
      <c r="G5" t="str">
        <f t="shared" si="1"/>
        <v/>
      </c>
      <c r="H5" t="str">
        <f t="shared" si="2"/>
        <v/>
      </c>
      <c r="I5" t="str">
        <f t="shared" si="3"/>
        <v/>
      </c>
    </row>
    <row r="6" spans="1:9" x14ac:dyDescent="0.35">
      <c r="F6" t="str">
        <f t="shared" si="0"/>
        <v/>
      </c>
      <c r="G6" t="str">
        <f t="shared" si="1"/>
        <v/>
      </c>
      <c r="H6" t="str">
        <f t="shared" si="2"/>
        <v/>
      </c>
      <c r="I6" t="str">
        <f t="shared" si="3"/>
        <v/>
      </c>
    </row>
    <row r="7" spans="1:9" x14ac:dyDescent="0.35">
      <c r="F7" t="str">
        <f t="shared" si="0"/>
        <v/>
      </c>
      <c r="G7" t="str">
        <f t="shared" si="1"/>
        <v/>
      </c>
      <c r="H7" t="str">
        <f t="shared" si="2"/>
        <v/>
      </c>
      <c r="I7" t="str">
        <f t="shared" si="3"/>
        <v/>
      </c>
    </row>
    <row r="8" spans="1:9" x14ac:dyDescent="0.35">
      <c r="F8" t="str">
        <f t="shared" si="0"/>
        <v/>
      </c>
      <c r="G8" t="str">
        <f t="shared" si="1"/>
        <v/>
      </c>
      <c r="H8" t="str">
        <f t="shared" si="2"/>
        <v/>
      </c>
      <c r="I8" t="str">
        <f t="shared" si="3"/>
        <v/>
      </c>
    </row>
    <row r="9" spans="1:9" x14ac:dyDescent="0.35">
      <c r="F9" t="str">
        <f t="shared" si="0"/>
        <v/>
      </c>
      <c r="G9" t="str">
        <f t="shared" si="1"/>
        <v/>
      </c>
      <c r="H9" t="str">
        <f t="shared" si="2"/>
        <v/>
      </c>
      <c r="I9" t="str">
        <f t="shared" si="3"/>
        <v/>
      </c>
    </row>
    <row r="10" spans="1:9" x14ac:dyDescent="0.35">
      <c r="F10" t="str">
        <f t="shared" si="0"/>
        <v/>
      </c>
      <c r="G10" t="str">
        <f t="shared" si="1"/>
        <v/>
      </c>
      <c r="H10" t="str">
        <f t="shared" si="2"/>
        <v/>
      </c>
      <c r="I10" t="str">
        <f t="shared" si="3"/>
        <v/>
      </c>
    </row>
    <row r="11" spans="1:9" x14ac:dyDescent="0.35">
      <c r="F11" t="str">
        <f t="shared" si="0"/>
        <v/>
      </c>
      <c r="G11" t="str">
        <f t="shared" si="1"/>
        <v/>
      </c>
      <c r="H11" t="str">
        <f t="shared" si="2"/>
        <v/>
      </c>
      <c r="I11" t="str">
        <f t="shared" si="3"/>
        <v/>
      </c>
    </row>
    <row r="12" spans="1:9" x14ac:dyDescent="0.35">
      <c r="F12" t="str">
        <f t="shared" si="0"/>
        <v/>
      </c>
      <c r="G12" t="str">
        <f t="shared" si="1"/>
        <v/>
      </c>
      <c r="H12" t="str">
        <f t="shared" si="2"/>
        <v/>
      </c>
      <c r="I12" t="str">
        <f t="shared" si="3"/>
        <v/>
      </c>
    </row>
    <row r="13" spans="1:9" x14ac:dyDescent="0.35">
      <c r="F13" t="str">
        <f t="shared" si="0"/>
        <v/>
      </c>
      <c r="G13" t="str">
        <f t="shared" si="1"/>
        <v/>
      </c>
      <c r="H13" t="str">
        <f t="shared" si="2"/>
        <v/>
      </c>
      <c r="I13" t="str">
        <f t="shared" si="3"/>
        <v/>
      </c>
    </row>
    <row r="14" spans="1:9" x14ac:dyDescent="0.35">
      <c r="F14" t="str">
        <f t="shared" si="0"/>
        <v/>
      </c>
      <c r="G14" t="str">
        <f t="shared" si="1"/>
        <v/>
      </c>
      <c r="H14" t="str">
        <f t="shared" si="2"/>
        <v/>
      </c>
      <c r="I14" t="str">
        <f t="shared" si="3"/>
        <v/>
      </c>
    </row>
    <row r="15" spans="1:9" x14ac:dyDescent="0.35">
      <c r="F15" t="str">
        <f t="shared" si="0"/>
        <v/>
      </c>
      <c r="G15" t="str">
        <f t="shared" si="1"/>
        <v/>
      </c>
      <c r="H15" t="str">
        <f t="shared" si="2"/>
        <v/>
      </c>
      <c r="I15" t="str">
        <f t="shared" si="3"/>
        <v/>
      </c>
    </row>
    <row r="16" spans="1:9" x14ac:dyDescent="0.35">
      <c r="F16" t="str">
        <f t="shared" si="0"/>
        <v/>
      </c>
      <c r="G16" t="str">
        <f t="shared" si="1"/>
        <v/>
      </c>
      <c r="H16" t="str">
        <f t="shared" si="2"/>
        <v/>
      </c>
      <c r="I16" t="str">
        <f t="shared" si="3"/>
        <v/>
      </c>
    </row>
    <row r="17" spans="6:9" x14ac:dyDescent="0.35">
      <c r="F17" t="str">
        <f t="shared" si="0"/>
        <v/>
      </c>
      <c r="G17" t="str">
        <f t="shared" si="1"/>
        <v/>
      </c>
      <c r="H17" t="str">
        <f t="shared" si="2"/>
        <v/>
      </c>
      <c r="I17" t="str">
        <f t="shared" si="3"/>
        <v/>
      </c>
    </row>
    <row r="18" spans="6:9" x14ac:dyDescent="0.35">
      <c r="F18" t="str">
        <f t="shared" si="0"/>
        <v/>
      </c>
      <c r="G18" t="str">
        <f t="shared" si="1"/>
        <v/>
      </c>
      <c r="H18" t="str">
        <f t="shared" si="2"/>
        <v/>
      </c>
      <c r="I18" t="str">
        <f t="shared" si="3"/>
        <v/>
      </c>
    </row>
    <row r="19" spans="6:9" x14ac:dyDescent="0.35">
      <c r="F19" t="str">
        <f t="shared" si="0"/>
        <v/>
      </c>
      <c r="G19" t="str">
        <f t="shared" si="1"/>
        <v/>
      </c>
      <c r="H19" t="str">
        <f t="shared" si="2"/>
        <v/>
      </c>
      <c r="I19" t="str">
        <f t="shared" si="3"/>
        <v/>
      </c>
    </row>
    <row r="20" spans="6:9" x14ac:dyDescent="0.35">
      <c r="F20" t="str">
        <f t="shared" si="0"/>
        <v/>
      </c>
      <c r="G20" t="str">
        <f t="shared" si="1"/>
        <v/>
      </c>
      <c r="H20" t="str">
        <f t="shared" si="2"/>
        <v/>
      </c>
      <c r="I20" t="str">
        <f t="shared" si="3"/>
        <v/>
      </c>
    </row>
    <row r="21" spans="6:9" x14ac:dyDescent="0.35">
      <c r="F21" t="str">
        <f t="shared" si="0"/>
        <v/>
      </c>
      <c r="G21" t="str">
        <f t="shared" si="1"/>
        <v/>
      </c>
      <c r="H21" t="str">
        <f t="shared" si="2"/>
        <v/>
      </c>
      <c r="I21" t="str">
        <f t="shared" si="3"/>
        <v/>
      </c>
    </row>
    <row r="22" spans="6:9" x14ac:dyDescent="0.35">
      <c r="F22" t="str">
        <f t="shared" si="0"/>
        <v/>
      </c>
      <c r="G22" t="str">
        <f t="shared" si="1"/>
        <v/>
      </c>
      <c r="H22" t="str">
        <f t="shared" si="2"/>
        <v/>
      </c>
      <c r="I22" t="str">
        <f t="shared" si="3"/>
        <v/>
      </c>
    </row>
    <row r="23" spans="6:9" x14ac:dyDescent="0.35">
      <c r="F23" t="str">
        <f t="shared" si="0"/>
        <v/>
      </c>
      <c r="G23" t="str">
        <f t="shared" si="1"/>
        <v/>
      </c>
      <c r="H23" t="str">
        <f t="shared" si="2"/>
        <v/>
      </c>
      <c r="I23" t="str">
        <f t="shared" si="3"/>
        <v/>
      </c>
    </row>
    <row r="24" spans="6:9" x14ac:dyDescent="0.35">
      <c r="F24" t="str">
        <f t="shared" si="0"/>
        <v/>
      </c>
      <c r="G24" t="str">
        <f t="shared" si="1"/>
        <v/>
      </c>
      <c r="H24" t="str">
        <f t="shared" si="2"/>
        <v/>
      </c>
      <c r="I24" t="str">
        <f t="shared" si="3"/>
        <v/>
      </c>
    </row>
    <row r="25" spans="6:9" x14ac:dyDescent="0.35">
      <c r="F25" t="str">
        <f t="shared" si="0"/>
        <v/>
      </c>
      <c r="G25" t="str">
        <f t="shared" si="1"/>
        <v/>
      </c>
      <c r="H25" t="str">
        <f t="shared" si="2"/>
        <v/>
      </c>
      <c r="I25" t="str">
        <f t="shared" si="3"/>
        <v/>
      </c>
    </row>
    <row r="26" spans="6:9" x14ac:dyDescent="0.35">
      <c r="F26" t="str">
        <f t="shared" si="0"/>
        <v/>
      </c>
      <c r="G26" t="str">
        <f t="shared" si="1"/>
        <v/>
      </c>
      <c r="H26" t="str">
        <f t="shared" si="2"/>
        <v/>
      </c>
      <c r="I26" t="str">
        <f t="shared" si="3"/>
        <v/>
      </c>
    </row>
    <row r="27" spans="6:9" x14ac:dyDescent="0.35">
      <c r="F27" t="str">
        <f t="shared" si="0"/>
        <v/>
      </c>
      <c r="G27" t="str">
        <f t="shared" si="1"/>
        <v/>
      </c>
      <c r="H27" t="str">
        <f t="shared" si="2"/>
        <v/>
      </c>
      <c r="I27" t="str">
        <f t="shared" si="3"/>
        <v/>
      </c>
    </row>
    <row r="28" spans="6:9" x14ac:dyDescent="0.35">
      <c r="F28" t="str">
        <f t="shared" si="0"/>
        <v/>
      </c>
      <c r="G28" t="str">
        <f t="shared" si="1"/>
        <v/>
      </c>
      <c r="H28" t="str">
        <f t="shared" si="2"/>
        <v/>
      </c>
      <c r="I28" t="str">
        <f t="shared" si="3"/>
        <v/>
      </c>
    </row>
    <row r="29" spans="6:9" x14ac:dyDescent="0.35">
      <c r="F29" t="str">
        <f t="shared" si="0"/>
        <v/>
      </c>
      <c r="G29" t="str">
        <f t="shared" si="1"/>
        <v/>
      </c>
      <c r="H29" t="str">
        <f t="shared" si="2"/>
        <v/>
      </c>
      <c r="I29" t="str">
        <f t="shared" si="3"/>
        <v/>
      </c>
    </row>
    <row r="30" spans="6:9" x14ac:dyDescent="0.35">
      <c r="F30" t="str">
        <f t="shared" si="0"/>
        <v/>
      </c>
      <c r="G30" t="str">
        <f t="shared" si="1"/>
        <v/>
      </c>
      <c r="H30" t="str">
        <f t="shared" si="2"/>
        <v/>
      </c>
      <c r="I30" t="str">
        <f t="shared" si="3"/>
        <v/>
      </c>
    </row>
    <row r="31" spans="6:9" x14ac:dyDescent="0.35"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 t="shared" si="3"/>
        <v/>
      </c>
    </row>
    <row r="32" spans="6:9" x14ac:dyDescent="0.35"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 t="shared" si="3"/>
        <v/>
      </c>
    </row>
    <row r="33" spans="6:9" x14ac:dyDescent="0.35">
      <c r="F33" t="str">
        <f t="shared" si="0"/>
        <v/>
      </c>
      <c r="G33" t="str">
        <f t="shared" si="1"/>
        <v/>
      </c>
      <c r="H33" t="str">
        <f t="shared" si="2"/>
        <v/>
      </c>
      <c r="I33" t="str">
        <f t="shared" si="3"/>
        <v/>
      </c>
    </row>
    <row r="34" spans="6:9" x14ac:dyDescent="0.35">
      <c r="F34" t="str">
        <f t="shared" ref="F34:F61" si="4">IF(A34="","",A34)</f>
        <v/>
      </c>
      <c r="G34" t="str">
        <f t="shared" ref="G34:G61" si="5">IF(B34="","",B34)</f>
        <v/>
      </c>
      <c r="H34" t="str">
        <f t="shared" ref="H34:H61" si="6">IF(C34="","",C34)</f>
        <v/>
      </c>
      <c r="I34" t="str">
        <f t="shared" ref="I34:I61" si="7">IF(D34="Sim","true",IF(D34="Não","false",""))</f>
        <v/>
      </c>
    </row>
    <row r="35" spans="6:9" x14ac:dyDescent="0.35">
      <c r="F35" t="str">
        <f t="shared" si="4"/>
        <v/>
      </c>
      <c r="G35" t="str">
        <f t="shared" si="5"/>
        <v/>
      </c>
      <c r="H35" t="str">
        <f t="shared" si="6"/>
        <v/>
      </c>
      <c r="I35" t="str">
        <f t="shared" si="7"/>
        <v/>
      </c>
    </row>
    <row r="36" spans="6:9" x14ac:dyDescent="0.35">
      <c r="F36" t="str">
        <f t="shared" si="4"/>
        <v/>
      </c>
      <c r="G36" t="str">
        <f t="shared" si="5"/>
        <v/>
      </c>
      <c r="H36" t="str">
        <f t="shared" si="6"/>
        <v/>
      </c>
      <c r="I36" t="str">
        <f t="shared" si="7"/>
        <v/>
      </c>
    </row>
    <row r="37" spans="6:9" x14ac:dyDescent="0.35">
      <c r="F37" t="str">
        <f t="shared" si="4"/>
        <v/>
      </c>
      <c r="G37" t="str">
        <f t="shared" si="5"/>
        <v/>
      </c>
      <c r="H37" t="str">
        <f t="shared" si="6"/>
        <v/>
      </c>
      <c r="I37" t="str">
        <f t="shared" si="7"/>
        <v/>
      </c>
    </row>
    <row r="38" spans="6:9" x14ac:dyDescent="0.35">
      <c r="F38" t="str">
        <f t="shared" si="4"/>
        <v/>
      </c>
      <c r="G38" t="str">
        <f t="shared" si="5"/>
        <v/>
      </c>
      <c r="H38" t="str">
        <f t="shared" si="6"/>
        <v/>
      </c>
      <c r="I38" t="str">
        <f t="shared" si="7"/>
        <v/>
      </c>
    </row>
    <row r="39" spans="6:9" x14ac:dyDescent="0.35">
      <c r="F39" t="str">
        <f t="shared" si="4"/>
        <v/>
      </c>
      <c r="G39" t="str">
        <f t="shared" si="5"/>
        <v/>
      </c>
      <c r="H39" t="str">
        <f t="shared" si="6"/>
        <v/>
      </c>
      <c r="I39" t="str">
        <f t="shared" si="7"/>
        <v/>
      </c>
    </row>
    <row r="40" spans="6:9" x14ac:dyDescent="0.35">
      <c r="F40" t="str">
        <f t="shared" si="4"/>
        <v/>
      </c>
      <c r="G40" t="str">
        <f t="shared" si="5"/>
        <v/>
      </c>
      <c r="H40" t="str">
        <f t="shared" si="6"/>
        <v/>
      </c>
      <c r="I40" t="str">
        <f t="shared" si="7"/>
        <v/>
      </c>
    </row>
    <row r="41" spans="6:9" x14ac:dyDescent="0.35">
      <c r="F41" t="str">
        <f t="shared" si="4"/>
        <v/>
      </c>
      <c r="G41" t="str">
        <f t="shared" si="5"/>
        <v/>
      </c>
      <c r="H41" t="str">
        <f t="shared" si="6"/>
        <v/>
      </c>
      <c r="I41" t="str">
        <f t="shared" si="7"/>
        <v/>
      </c>
    </row>
    <row r="42" spans="6:9" x14ac:dyDescent="0.35">
      <c r="F42" t="str">
        <f t="shared" si="4"/>
        <v/>
      </c>
      <c r="G42" t="str">
        <f t="shared" si="5"/>
        <v/>
      </c>
      <c r="H42" t="str">
        <f t="shared" si="6"/>
        <v/>
      </c>
      <c r="I42" t="str">
        <f t="shared" si="7"/>
        <v/>
      </c>
    </row>
    <row r="43" spans="6:9" x14ac:dyDescent="0.35">
      <c r="F43" t="str">
        <f t="shared" si="4"/>
        <v/>
      </c>
      <c r="G43" t="str">
        <f t="shared" si="5"/>
        <v/>
      </c>
      <c r="H43" t="str">
        <f t="shared" si="6"/>
        <v/>
      </c>
      <c r="I43" t="str">
        <f t="shared" si="7"/>
        <v/>
      </c>
    </row>
    <row r="44" spans="6:9" x14ac:dyDescent="0.35">
      <c r="F44" t="str">
        <f t="shared" si="4"/>
        <v/>
      </c>
      <c r="G44" t="str">
        <f t="shared" si="5"/>
        <v/>
      </c>
      <c r="H44" t="str">
        <f t="shared" si="6"/>
        <v/>
      </c>
      <c r="I44" t="str">
        <f t="shared" si="7"/>
        <v/>
      </c>
    </row>
    <row r="45" spans="6:9" x14ac:dyDescent="0.35">
      <c r="F45" t="str">
        <f t="shared" si="4"/>
        <v/>
      </c>
      <c r="G45" t="str">
        <f t="shared" si="5"/>
        <v/>
      </c>
      <c r="H45" t="str">
        <f t="shared" si="6"/>
        <v/>
      </c>
      <c r="I45" t="str">
        <f t="shared" si="7"/>
        <v/>
      </c>
    </row>
    <row r="46" spans="6:9" x14ac:dyDescent="0.35">
      <c r="F46" t="str">
        <f t="shared" si="4"/>
        <v/>
      </c>
      <c r="G46" t="str">
        <f t="shared" si="5"/>
        <v/>
      </c>
      <c r="H46" t="str">
        <f t="shared" si="6"/>
        <v/>
      </c>
      <c r="I46" t="str">
        <f t="shared" si="7"/>
        <v/>
      </c>
    </row>
    <row r="47" spans="6:9" x14ac:dyDescent="0.35">
      <c r="F47" t="str">
        <f t="shared" si="4"/>
        <v/>
      </c>
      <c r="G47" t="str">
        <f t="shared" si="5"/>
        <v/>
      </c>
      <c r="H47" t="str">
        <f t="shared" si="6"/>
        <v/>
      </c>
      <c r="I47" t="str">
        <f t="shared" si="7"/>
        <v/>
      </c>
    </row>
    <row r="48" spans="6:9" x14ac:dyDescent="0.35">
      <c r="F48" t="str">
        <f t="shared" si="4"/>
        <v/>
      </c>
      <c r="G48" t="str">
        <f t="shared" si="5"/>
        <v/>
      </c>
      <c r="H48" t="str">
        <f t="shared" si="6"/>
        <v/>
      </c>
      <c r="I48" t="str">
        <f t="shared" si="7"/>
        <v/>
      </c>
    </row>
    <row r="49" spans="6:9" x14ac:dyDescent="0.35">
      <c r="F49" t="str">
        <f t="shared" si="4"/>
        <v/>
      </c>
      <c r="G49" t="str">
        <f t="shared" si="5"/>
        <v/>
      </c>
      <c r="H49" t="str">
        <f t="shared" si="6"/>
        <v/>
      </c>
      <c r="I49" t="str">
        <f t="shared" si="7"/>
        <v/>
      </c>
    </row>
    <row r="50" spans="6:9" x14ac:dyDescent="0.35">
      <c r="F50" t="str">
        <f t="shared" si="4"/>
        <v/>
      </c>
      <c r="G50" t="str">
        <f t="shared" si="5"/>
        <v/>
      </c>
      <c r="H50" t="str">
        <f t="shared" si="6"/>
        <v/>
      </c>
      <c r="I50" t="str">
        <f t="shared" si="7"/>
        <v/>
      </c>
    </row>
    <row r="51" spans="6:9" x14ac:dyDescent="0.35">
      <c r="F51" t="str">
        <f t="shared" si="4"/>
        <v/>
      </c>
      <c r="G51" t="str">
        <f t="shared" si="5"/>
        <v/>
      </c>
      <c r="H51" t="str">
        <f t="shared" si="6"/>
        <v/>
      </c>
      <c r="I51" t="str">
        <f t="shared" si="7"/>
        <v/>
      </c>
    </row>
    <row r="52" spans="6:9" x14ac:dyDescent="0.35">
      <c r="F52" t="str">
        <f t="shared" si="4"/>
        <v/>
      </c>
      <c r="G52" t="str">
        <f t="shared" si="5"/>
        <v/>
      </c>
      <c r="H52" t="str">
        <f t="shared" si="6"/>
        <v/>
      </c>
      <c r="I52" t="str">
        <f t="shared" si="7"/>
        <v/>
      </c>
    </row>
    <row r="53" spans="6:9" x14ac:dyDescent="0.35">
      <c r="F53" t="str">
        <f t="shared" si="4"/>
        <v/>
      </c>
      <c r="G53" t="str">
        <f t="shared" si="5"/>
        <v/>
      </c>
      <c r="H53" t="str">
        <f t="shared" si="6"/>
        <v/>
      </c>
      <c r="I53" t="str">
        <f t="shared" si="7"/>
        <v/>
      </c>
    </row>
    <row r="54" spans="6:9" x14ac:dyDescent="0.35">
      <c r="F54" t="str">
        <f t="shared" si="4"/>
        <v/>
      </c>
      <c r="G54" t="str">
        <f t="shared" si="5"/>
        <v/>
      </c>
      <c r="H54" t="str">
        <f t="shared" si="6"/>
        <v/>
      </c>
      <c r="I54" t="str">
        <f t="shared" si="7"/>
        <v/>
      </c>
    </row>
    <row r="55" spans="6:9" x14ac:dyDescent="0.35">
      <c r="F55" t="str">
        <f t="shared" si="4"/>
        <v/>
      </c>
      <c r="G55" t="str">
        <f t="shared" si="5"/>
        <v/>
      </c>
      <c r="H55" t="str">
        <f t="shared" si="6"/>
        <v/>
      </c>
      <c r="I55" t="str">
        <f t="shared" si="7"/>
        <v/>
      </c>
    </row>
    <row r="56" spans="6:9" x14ac:dyDescent="0.35">
      <c r="F56" t="str">
        <f t="shared" si="4"/>
        <v/>
      </c>
      <c r="G56" t="str">
        <f t="shared" si="5"/>
        <v/>
      </c>
      <c r="H56" t="str">
        <f t="shared" si="6"/>
        <v/>
      </c>
      <c r="I56" t="str">
        <f t="shared" si="7"/>
        <v/>
      </c>
    </row>
    <row r="57" spans="6:9" x14ac:dyDescent="0.35">
      <c r="F57" t="str">
        <f t="shared" si="4"/>
        <v/>
      </c>
      <c r="G57" t="str">
        <f t="shared" si="5"/>
        <v/>
      </c>
      <c r="H57" t="str">
        <f t="shared" si="6"/>
        <v/>
      </c>
      <c r="I57" t="str">
        <f t="shared" si="7"/>
        <v/>
      </c>
    </row>
    <row r="58" spans="6:9" x14ac:dyDescent="0.35">
      <c r="F58" t="str">
        <f t="shared" si="4"/>
        <v/>
      </c>
      <c r="G58" t="str">
        <f t="shared" si="5"/>
        <v/>
      </c>
      <c r="H58" t="str">
        <f t="shared" si="6"/>
        <v/>
      </c>
      <c r="I58" t="str">
        <f t="shared" si="7"/>
        <v/>
      </c>
    </row>
    <row r="59" spans="6:9" x14ac:dyDescent="0.35">
      <c r="F59" t="str">
        <f t="shared" si="4"/>
        <v/>
      </c>
      <c r="G59" t="str">
        <f t="shared" si="5"/>
        <v/>
      </c>
      <c r="H59" t="str">
        <f t="shared" si="6"/>
        <v/>
      </c>
      <c r="I59" t="str">
        <f t="shared" si="7"/>
        <v/>
      </c>
    </row>
    <row r="60" spans="6:9" x14ac:dyDescent="0.35">
      <c r="F60" t="str">
        <f t="shared" si="4"/>
        <v/>
      </c>
      <c r="G60" t="str">
        <f t="shared" si="5"/>
        <v/>
      </c>
      <c r="H60" t="str">
        <f t="shared" si="6"/>
        <v/>
      </c>
      <c r="I60" t="str">
        <f t="shared" si="7"/>
        <v/>
      </c>
    </row>
    <row r="61" spans="6:9" x14ac:dyDescent="0.35">
      <c r="F61" t="str">
        <f t="shared" si="4"/>
        <v/>
      </c>
      <c r="G61" t="str">
        <f t="shared" si="5"/>
        <v/>
      </c>
      <c r="H61" t="str">
        <f t="shared" si="6"/>
        <v/>
      </c>
      <c r="I61" t="str">
        <f t="shared" si="7"/>
        <v/>
      </c>
    </row>
  </sheetData>
  <autoFilter ref="A1:D1"/>
  <conditionalFormatting sqref="A3:A61">
    <cfRule type="expression" dxfId="93" priority="2">
      <formula>AND($A3="",COUNTA($A3:$D3)&gt;0)</formula>
    </cfRule>
  </conditionalFormatting>
  <conditionalFormatting sqref="B3:B61">
    <cfRule type="expression" dxfId="92" priority="3">
      <formula>AND($B3="",COUNTA($A3:$D3)&gt;0)</formula>
    </cfRule>
  </conditionalFormatting>
  <conditionalFormatting sqref="D3:D61">
    <cfRule type="expression" dxfId="91" priority="4">
      <formula>AND($D3="",COUNTA($A3:$D3)&gt;0)</formula>
    </cfRule>
  </conditionalFormatting>
  <dataValidations count="4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50 caracteres" sqref="A2:A61">
      <formula1>150</formula1>
      <formula2>0</formula2>
    </dataValidation>
    <dataValidation type="textLength" operator="lessThanOrEqual" allowBlank="1" errorTitle="Texto muito longo" error="Máximo de 14 caracteres" sqref="C2:C61">
      <formula1>14</formula1>
      <formula2>0</formula2>
    </dataValidation>
    <dataValidation type="list" allowBlank="1" sqref="D2:D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26" customWidth="1"/>
    <col min="2" max="2" width="16" customWidth="1"/>
    <col min="3" max="3" width="10" customWidth="1"/>
    <col min="5" max="7" width="16" hidden="1" customWidth="1"/>
  </cols>
  <sheetData>
    <row r="1" spans="1:7" ht="31.5" customHeight="1" x14ac:dyDescent="0.35">
      <c r="A1" s="9" t="s">
        <v>31</v>
      </c>
      <c r="B1" s="9" t="s">
        <v>32</v>
      </c>
      <c r="C1" s="9" t="s">
        <v>53</v>
      </c>
      <c r="E1" s="10" t="s">
        <v>34</v>
      </c>
      <c r="F1" s="10" t="s">
        <v>35</v>
      </c>
      <c r="G1" s="10" t="s">
        <v>46</v>
      </c>
    </row>
    <row r="2" spans="1:7" x14ac:dyDescent="0.35">
      <c r="A2" s="11" t="s">
        <v>57</v>
      </c>
      <c r="B2" s="11" t="s">
        <v>58</v>
      </c>
      <c r="C2" s="11" t="s">
        <v>49</v>
      </c>
      <c r="E2" t="str">
        <f t="shared" ref="E2:E33" si="0">IF(A2="","",A2)</f>
        <v>Polo Nova Iguaçu</v>
      </c>
      <c r="F2" t="str">
        <f t="shared" ref="F2:F33" si="1">IF(B2="","",B2)</f>
        <v>POL-001</v>
      </c>
      <c r="G2" t="str">
        <f t="shared" ref="G2:G33" si="2">IF(C2="Sim","true",IF(C2="Não","false",""))</f>
        <v>true</v>
      </c>
    </row>
    <row r="3" spans="1:7" x14ac:dyDescent="0.35">
      <c r="E3" t="str">
        <f t="shared" si="0"/>
        <v/>
      </c>
      <c r="F3" t="str">
        <f t="shared" si="1"/>
        <v/>
      </c>
      <c r="G3" t="str">
        <f t="shared" si="2"/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 t="shared" si="2"/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 t="shared" si="2"/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 t="shared" si="2"/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 t="shared" si="2"/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 t="shared" si="2"/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 t="shared" si="2"/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 t="shared" si="2"/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 t="shared" si="2"/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 t="shared" si="2"/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 t="shared" si="2"/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 t="shared" si="2"/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 t="shared" si="2"/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 t="shared" si="2"/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 t="shared" si="2"/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 t="shared" si="2"/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 t="shared" si="2"/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 t="shared" si="2"/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 t="shared" si="2"/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 t="shared" si="2"/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 t="shared" si="2"/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 t="shared" si="2"/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 t="shared" si="2"/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 t="shared" si="2"/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 t="shared" si="2"/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 t="shared" si="2"/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 t="shared" si="2"/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 t="shared" si="2"/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 t="shared" si="2"/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 t="shared" si="2"/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 t="shared" si="2"/>
        <v/>
      </c>
    </row>
    <row r="34" spans="5:7" x14ac:dyDescent="0.35">
      <c r="E34" t="str">
        <f t="shared" ref="E34:E61" si="3">IF(A34="","",A34)</f>
        <v/>
      </c>
      <c r="F34" t="str">
        <f t="shared" ref="F34:F61" si="4">IF(B34="","",B34)</f>
        <v/>
      </c>
      <c r="G34" t="str">
        <f t="shared" ref="G34:G61" si="5">IF(C34="Sim","true",IF(C34="Não","false",""))</f>
        <v/>
      </c>
    </row>
    <row r="35" spans="5:7" x14ac:dyDescent="0.35">
      <c r="E35" t="str">
        <f t="shared" si="3"/>
        <v/>
      </c>
      <c r="F35" t="str">
        <f t="shared" si="4"/>
        <v/>
      </c>
      <c r="G35" t="str">
        <f t="shared" si="5"/>
        <v/>
      </c>
    </row>
    <row r="36" spans="5:7" x14ac:dyDescent="0.35">
      <c r="E36" t="str">
        <f t="shared" si="3"/>
        <v/>
      </c>
      <c r="F36" t="str">
        <f t="shared" si="4"/>
        <v/>
      </c>
      <c r="G36" t="str">
        <f t="shared" si="5"/>
        <v/>
      </c>
    </row>
    <row r="37" spans="5:7" x14ac:dyDescent="0.35">
      <c r="E37" t="str">
        <f t="shared" si="3"/>
        <v/>
      </c>
      <c r="F37" t="str">
        <f t="shared" si="4"/>
        <v/>
      </c>
      <c r="G37" t="str">
        <f t="shared" si="5"/>
        <v/>
      </c>
    </row>
    <row r="38" spans="5:7" x14ac:dyDescent="0.35">
      <c r="E38" t="str">
        <f t="shared" si="3"/>
        <v/>
      </c>
      <c r="F38" t="str">
        <f t="shared" si="4"/>
        <v/>
      </c>
      <c r="G38" t="str">
        <f t="shared" si="5"/>
        <v/>
      </c>
    </row>
    <row r="39" spans="5:7" x14ac:dyDescent="0.35">
      <c r="E39" t="str">
        <f t="shared" si="3"/>
        <v/>
      </c>
      <c r="F39" t="str">
        <f t="shared" si="4"/>
        <v/>
      </c>
      <c r="G39" t="str">
        <f t="shared" si="5"/>
        <v/>
      </c>
    </row>
    <row r="40" spans="5:7" x14ac:dyDescent="0.35">
      <c r="E40" t="str">
        <f t="shared" si="3"/>
        <v/>
      </c>
      <c r="F40" t="str">
        <f t="shared" si="4"/>
        <v/>
      </c>
      <c r="G40" t="str">
        <f t="shared" si="5"/>
        <v/>
      </c>
    </row>
    <row r="41" spans="5:7" x14ac:dyDescent="0.35">
      <c r="E41" t="str">
        <f t="shared" si="3"/>
        <v/>
      </c>
      <c r="F41" t="str">
        <f t="shared" si="4"/>
        <v/>
      </c>
      <c r="G41" t="str">
        <f t="shared" si="5"/>
        <v/>
      </c>
    </row>
    <row r="42" spans="5:7" x14ac:dyDescent="0.35">
      <c r="E42" t="str">
        <f t="shared" si="3"/>
        <v/>
      </c>
      <c r="F42" t="str">
        <f t="shared" si="4"/>
        <v/>
      </c>
      <c r="G42" t="str">
        <f t="shared" si="5"/>
        <v/>
      </c>
    </row>
    <row r="43" spans="5:7" x14ac:dyDescent="0.35">
      <c r="E43" t="str">
        <f t="shared" si="3"/>
        <v/>
      </c>
      <c r="F43" t="str">
        <f t="shared" si="4"/>
        <v/>
      </c>
      <c r="G43" t="str">
        <f t="shared" si="5"/>
        <v/>
      </c>
    </row>
    <row r="44" spans="5:7" x14ac:dyDescent="0.35">
      <c r="E44" t="str">
        <f t="shared" si="3"/>
        <v/>
      </c>
      <c r="F44" t="str">
        <f t="shared" si="4"/>
        <v/>
      </c>
      <c r="G44" t="str">
        <f t="shared" si="5"/>
        <v/>
      </c>
    </row>
    <row r="45" spans="5:7" x14ac:dyDescent="0.35">
      <c r="E45" t="str">
        <f t="shared" si="3"/>
        <v/>
      </c>
      <c r="F45" t="str">
        <f t="shared" si="4"/>
        <v/>
      </c>
      <c r="G45" t="str">
        <f t="shared" si="5"/>
        <v/>
      </c>
    </row>
    <row r="46" spans="5:7" x14ac:dyDescent="0.35">
      <c r="E46" t="str">
        <f t="shared" si="3"/>
        <v/>
      </c>
      <c r="F46" t="str">
        <f t="shared" si="4"/>
        <v/>
      </c>
      <c r="G46" t="str">
        <f t="shared" si="5"/>
        <v/>
      </c>
    </row>
    <row r="47" spans="5:7" x14ac:dyDescent="0.35">
      <c r="E47" t="str">
        <f t="shared" si="3"/>
        <v/>
      </c>
      <c r="F47" t="str">
        <f t="shared" si="4"/>
        <v/>
      </c>
      <c r="G47" t="str">
        <f t="shared" si="5"/>
        <v/>
      </c>
    </row>
    <row r="48" spans="5:7" x14ac:dyDescent="0.35">
      <c r="E48" t="str">
        <f t="shared" si="3"/>
        <v/>
      </c>
      <c r="F48" t="str">
        <f t="shared" si="4"/>
        <v/>
      </c>
      <c r="G48" t="str">
        <f t="shared" si="5"/>
        <v/>
      </c>
    </row>
    <row r="49" spans="5:7" x14ac:dyDescent="0.35">
      <c r="E49" t="str">
        <f t="shared" si="3"/>
        <v/>
      </c>
      <c r="F49" t="str">
        <f t="shared" si="4"/>
        <v/>
      </c>
      <c r="G49" t="str">
        <f t="shared" si="5"/>
        <v/>
      </c>
    </row>
    <row r="50" spans="5:7" x14ac:dyDescent="0.35">
      <c r="E50" t="str">
        <f t="shared" si="3"/>
        <v/>
      </c>
      <c r="F50" t="str">
        <f t="shared" si="4"/>
        <v/>
      </c>
      <c r="G50" t="str">
        <f t="shared" si="5"/>
        <v/>
      </c>
    </row>
    <row r="51" spans="5:7" x14ac:dyDescent="0.35">
      <c r="E51" t="str">
        <f t="shared" si="3"/>
        <v/>
      </c>
      <c r="F51" t="str">
        <f t="shared" si="4"/>
        <v/>
      </c>
      <c r="G51" t="str">
        <f t="shared" si="5"/>
        <v/>
      </c>
    </row>
    <row r="52" spans="5:7" x14ac:dyDescent="0.35">
      <c r="E52" t="str">
        <f t="shared" si="3"/>
        <v/>
      </c>
      <c r="F52" t="str">
        <f t="shared" si="4"/>
        <v/>
      </c>
      <c r="G52" t="str">
        <f t="shared" si="5"/>
        <v/>
      </c>
    </row>
    <row r="53" spans="5:7" x14ac:dyDescent="0.35">
      <c r="E53" t="str">
        <f t="shared" si="3"/>
        <v/>
      </c>
      <c r="F53" t="str">
        <f t="shared" si="4"/>
        <v/>
      </c>
      <c r="G53" t="str">
        <f t="shared" si="5"/>
        <v/>
      </c>
    </row>
    <row r="54" spans="5:7" x14ac:dyDescent="0.35">
      <c r="E54" t="str">
        <f t="shared" si="3"/>
        <v/>
      </c>
      <c r="F54" t="str">
        <f t="shared" si="4"/>
        <v/>
      </c>
      <c r="G54" t="str">
        <f t="shared" si="5"/>
        <v/>
      </c>
    </row>
    <row r="55" spans="5:7" x14ac:dyDescent="0.35">
      <c r="E55" t="str">
        <f t="shared" si="3"/>
        <v/>
      </c>
      <c r="F55" t="str">
        <f t="shared" si="4"/>
        <v/>
      </c>
      <c r="G55" t="str">
        <f t="shared" si="5"/>
        <v/>
      </c>
    </row>
    <row r="56" spans="5:7" x14ac:dyDescent="0.35">
      <c r="E56" t="str">
        <f t="shared" si="3"/>
        <v/>
      </c>
      <c r="F56" t="str">
        <f t="shared" si="4"/>
        <v/>
      </c>
      <c r="G56" t="str">
        <f t="shared" si="5"/>
        <v/>
      </c>
    </row>
    <row r="57" spans="5:7" x14ac:dyDescent="0.35">
      <c r="E57" t="str">
        <f t="shared" si="3"/>
        <v/>
      </c>
      <c r="F57" t="str">
        <f t="shared" si="4"/>
        <v/>
      </c>
      <c r="G57" t="str">
        <f t="shared" si="5"/>
        <v/>
      </c>
    </row>
    <row r="58" spans="5:7" x14ac:dyDescent="0.35">
      <c r="E58" t="str">
        <f t="shared" si="3"/>
        <v/>
      </c>
      <c r="F58" t="str">
        <f t="shared" si="4"/>
        <v/>
      </c>
      <c r="G58" t="str">
        <f t="shared" si="5"/>
        <v/>
      </c>
    </row>
    <row r="59" spans="5:7" x14ac:dyDescent="0.35">
      <c r="E59" t="str">
        <f t="shared" si="3"/>
        <v/>
      </c>
      <c r="F59" t="str">
        <f t="shared" si="4"/>
        <v/>
      </c>
      <c r="G59" t="str">
        <f t="shared" si="5"/>
        <v/>
      </c>
    </row>
    <row r="60" spans="5:7" x14ac:dyDescent="0.35">
      <c r="E60" t="str">
        <f t="shared" si="3"/>
        <v/>
      </c>
      <c r="F60" t="str">
        <f t="shared" si="4"/>
        <v/>
      </c>
      <c r="G60" t="str">
        <f t="shared" si="5"/>
        <v/>
      </c>
    </row>
    <row r="61" spans="5:7" x14ac:dyDescent="0.35">
      <c r="E61" t="str">
        <f t="shared" si="3"/>
        <v/>
      </c>
      <c r="F61" t="str">
        <f t="shared" si="4"/>
        <v/>
      </c>
      <c r="G61" t="str">
        <f t="shared" si="5"/>
        <v/>
      </c>
    </row>
  </sheetData>
  <autoFilter ref="A1:C1"/>
  <conditionalFormatting sqref="A3:A61">
    <cfRule type="expression" dxfId="90" priority="2">
      <formula>AND($A3="",COUNTA($A3:$C3)&gt;0)</formula>
    </cfRule>
  </conditionalFormatting>
  <conditionalFormatting sqref="B3:B61">
    <cfRule type="expression" dxfId="89" priority="3">
      <formula>AND($B3="",COUNTA($A3:$C3)&gt;0)</formula>
    </cfRule>
  </conditionalFormatting>
  <conditionalFormatting sqref="C3:C61">
    <cfRule type="expression" dxfId="88" priority="4">
      <formula>AND($C3="",COUNTA($A3:$C3)&gt;0)</formula>
    </cfRule>
  </conditionalFormatting>
  <dataValidations count="3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50 caracteres" sqref="A2:A61">
      <formula1>150</formula1>
      <formula2>0</formula2>
    </dataValidation>
    <dataValidation type="list" allowBlank="1" sqref="C2:C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20" customWidth="1"/>
    <col min="2" max="2" width="16" customWidth="1"/>
    <col min="3" max="3" width="18" customWidth="1"/>
    <col min="5" max="7" width="16" hidden="1" customWidth="1"/>
  </cols>
  <sheetData>
    <row r="1" spans="1:7" ht="31.5" customHeight="1" x14ac:dyDescent="0.35">
      <c r="A1" s="9" t="s">
        <v>31</v>
      </c>
      <c r="B1" s="9" t="s">
        <v>32</v>
      </c>
      <c r="C1" s="9" t="s">
        <v>59</v>
      </c>
      <c r="E1" s="10" t="s">
        <v>34</v>
      </c>
      <c r="F1" s="10" t="s">
        <v>35</v>
      </c>
      <c r="G1" s="10" t="s">
        <v>60</v>
      </c>
    </row>
    <row r="2" spans="1:7" x14ac:dyDescent="0.35">
      <c r="A2" s="11" t="s">
        <v>61</v>
      </c>
      <c r="B2" s="11" t="s">
        <v>62</v>
      </c>
      <c r="C2" s="11" t="s">
        <v>61</v>
      </c>
      <c r="E2" t="str">
        <f t="shared" ref="E2:E33" si="0">IF(A2="","",A2)</f>
        <v>Ativo</v>
      </c>
      <c r="F2" t="str">
        <f t="shared" ref="F2:F33" si="1">IF(B2="","",B2)</f>
        <v>STATUS-001</v>
      </c>
      <c r="G2" t="str">
        <f>IFERROR(INDEX(Listas!$Q$2:$Q$6,MATCH(C2,Listas!$P$2:$P$6,0)),"")</f>
        <v>active</v>
      </c>
    </row>
    <row r="3" spans="1:7" x14ac:dyDescent="0.35">
      <c r="E3" t="str">
        <f t="shared" si="0"/>
        <v/>
      </c>
      <c r="F3" t="str">
        <f t="shared" si="1"/>
        <v/>
      </c>
      <c r="G3" t="str">
        <f>IFERROR(INDEX(Listas!$Q$2:$Q$6,MATCH(C3,Listas!$P$2:$P$6,0)),"")</f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>IFERROR(INDEX(Listas!$Q$2:$Q$6,MATCH(C4,Listas!$P$2:$P$6,0)),"")</f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>IFERROR(INDEX(Listas!$Q$2:$Q$6,MATCH(C5,Listas!$P$2:$P$6,0)),"")</f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>IFERROR(INDEX(Listas!$Q$2:$Q$6,MATCH(C6,Listas!$P$2:$P$6,0)),"")</f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>IFERROR(INDEX(Listas!$Q$2:$Q$6,MATCH(C7,Listas!$P$2:$P$6,0)),"")</f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>IFERROR(INDEX(Listas!$Q$2:$Q$6,MATCH(C8,Listas!$P$2:$P$6,0)),"")</f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>IFERROR(INDEX(Listas!$Q$2:$Q$6,MATCH(C9,Listas!$P$2:$P$6,0)),"")</f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>IFERROR(INDEX(Listas!$Q$2:$Q$6,MATCH(C10,Listas!$P$2:$P$6,0)),"")</f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>IFERROR(INDEX(Listas!$Q$2:$Q$6,MATCH(C11,Listas!$P$2:$P$6,0)),"")</f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>IFERROR(INDEX(Listas!$Q$2:$Q$6,MATCH(C12,Listas!$P$2:$P$6,0)),"")</f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>IFERROR(INDEX(Listas!$Q$2:$Q$6,MATCH(C13,Listas!$P$2:$P$6,0)),"")</f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>IFERROR(INDEX(Listas!$Q$2:$Q$6,MATCH(C14,Listas!$P$2:$P$6,0)),"")</f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>IFERROR(INDEX(Listas!$Q$2:$Q$6,MATCH(C15,Listas!$P$2:$P$6,0)),"")</f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>IFERROR(INDEX(Listas!$Q$2:$Q$6,MATCH(C16,Listas!$P$2:$P$6,0)),"")</f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>IFERROR(INDEX(Listas!$Q$2:$Q$6,MATCH(C17,Listas!$P$2:$P$6,0)),"")</f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>IFERROR(INDEX(Listas!$Q$2:$Q$6,MATCH(C18,Listas!$P$2:$P$6,0)),"")</f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>IFERROR(INDEX(Listas!$Q$2:$Q$6,MATCH(C19,Listas!$P$2:$P$6,0)),"")</f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>IFERROR(INDEX(Listas!$Q$2:$Q$6,MATCH(C20,Listas!$P$2:$P$6,0)),"")</f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>IFERROR(INDEX(Listas!$Q$2:$Q$6,MATCH(C21,Listas!$P$2:$P$6,0)),"")</f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>IFERROR(INDEX(Listas!$Q$2:$Q$6,MATCH(C22,Listas!$P$2:$P$6,0)),"")</f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>IFERROR(INDEX(Listas!$Q$2:$Q$6,MATCH(C23,Listas!$P$2:$P$6,0)),"")</f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>IFERROR(INDEX(Listas!$Q$2:$Q$6,MATCH(C24,Listas!$P$2:$P$6,0)),"")</f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>IFERROR(INDEX(Listas!$Q$2:$Q$6,MATCH(C25,Listas!$P$2:$P$6,0)),"")</f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>IFERROR(INDEX(Listas!$Q$2:$Q$6,MATCH(C26,Listas!$P$2:$P$6,0)),"")</f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>IFERROR(INDEX(Listas!$Q$2:$Q$6,MATCH(C27,Listas!$P$2:$P$6,0)),"")</f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>IFERROR(INDEX(Listas!$Q$2:$Q$6,MATCH(C28,Listas!$P$2:$P$6,0)),"")</f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>IFERROR(INDEX(Listas!$Q$2:$Q$6,MATCH(C29,Listas!$P$2:$P$6,0)),"")</f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>IFERROR(INDEX(Listas!$Q$2:$Q$6,MATCH(C30,Listas!$P$2:$P$6,0)),"")</f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>IFERROR(INDEX(Listas!$Q$2:$Q$6,MATCH(C31,Listas!$P$2:$P$6,0)),"")</f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>IFERROR(INDEX(Listas!$Q$2:$Q$6,MATCH(C32,Listas!$P$2:$P$6,0)),"")</f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>IFERROR(INDEX(Listas!$Q$2:$Q$6,MATCH(C33,Listas!$P$2:$P$6,0)),"")</f>
        <v/>
      </c>
    </row>
    <row r="34" spans="5:7" x14ac:dyDescent="0.35">
      <c r="E34" t="str">
        <f t="shared" ref="E34:E61" si="2">IF(A34="","",A34)</f>
        <v/>
      </c>
      <c r="F34" t="str">
        <f t="shared" ref="F34:F61" si="3">IF(B34="","",B34)</f>
        <v/>
      </c>
      <c r="G34" t="str">
        <f>IFERROR(INDEX(Listas!$Q$2:$Q$6,MATCH(C34,Listas!$P$2:$P$6,0)),"")</f>
        <v/>
      </c>
    </row>
    <row r="35" spans="5:7" x14ac:dyDescent="0.35">
      <c r="E35" t="str">
        <f t="shared" si="2"/>
        <v/>
      </c>
      <c r="F35" t="str">
        <f t="shared" si="3"/>
        <v/>
      </c>
      <c r="G35" t="str">
        <f>IFERROR(INDEX(Listas!$Q$2:$Q$6,MATCH(C35,Listas!$P$2:$P$6,0)),"")</f>
        <v/>
      </c>
    </row>
    <row r="36" spans="5:7" x14ac:dyDescent="0.35">
      <c r="E36" t="str">
        <f t="shared" si="2"/>
        <v/>
      </c>
      <c r="F36" t="str">
        <f t="shared" si="3"/>
        <v/>
      </c>
      <c r="G36" t="str">
        <f>IFERROR(INDEX(Listas!$Q$2:$Q$6,MATCH(C36,Listas!$P$2:$P$6,0)),"")</f>
        <v/>
      </c>
    </row>
    <row r="37" spans="5:7" x14ac:dyDescent="0.35">
      <c r="E37" t="str">
        <f t="shared" si="2"/>
        <v/>
      </c>
      <c r="F37" t="str">
        <f t="shared" si="3"/>
        <v/>
      </c>
      <c r="G37" t="str">
        <f>IFERROR(INDEX(Listas!$Q$2:$Q$6,MATCH(C37,Listas!$P$2:$P$6,0)),"")</f>
        <v/>
      </c>
    </row>
    <row r="38" spans="5:7" x14ac:dyDescent="0.35">
      <c r="E38" t="str">
        <f t="shared" si="2"/>
        <v/>
      </c>
      <c r="F38" t="str">
        <f t="shared" si="3"/>
        <v/>
      </c>
      <c r="G38" t="str">
        <f>IFERROR(INDEX(Listas!$Q$2:$Q$6,MATCH(C38,Listas!$P$2:$P$6,0)),"")</f>
        <v/>
      </c>
    </row>
    <row r="39" spans="5:7" x14ac:dyDescent="0.35">
      <c r="E39" t="str">
        <f t="shared" si="2"/>
        <v/>
      </c>
      <c r="F39" t="str">
        <f t="shared" si="3"/>
        <v/>
      </c>
      <c r="G39" t="str">
        <f>IFERROR(INDEX(Listas!$Q$2:$Q$6,MATCH(C39,Listas!$P$2:$P$6,0)),"")</f>
        <v/>
      </c>
    </row>
    <row r="40" spans="5:7" x14ac:dyDescent="0.35">
      <c r="E40" t="str">
        <f t="shared" si="2"/>
        <v/>
      </c>
      <c r="F40" t="str">
        <f t="shared" si="3"/>
        <v/>
      </c>
      <c r="G40" t="str">
        <f>IFERROR(INDEX(Listas!$Q$2:$Q$6,MATCH(C40,Listas!$P$2:$P$6,0)),"")</f>
        <v/>
      </c>
    </row>
    <row r="41" spans="5:7" x14ac:dyDescent="0.35">
      <c r="E41" t="str">
        <f t="shared" si="2"/>
        <v/>
      </c>
      <c r="F41" t="str">
        <f t="shared" si="3"/>
        <v/>
      </c>
      <c r="G41" t="str">
        <f>IFERROR(INDEX(Listas!$Q$2:$Q$6,MATCH(C41,Listas!$P$2:$P$6,0)),"")</f>
        <v/>
      </c>
    </row>
    <row r="42" spans="5:7" x14ac:dyDescent="0.35">
      <c r="E42" t="str">
        <f t="shared" si="2"/>
        <v/>
      </c>
      <c r="F42" t="str">
        <f t="shared" si="3"/>
        <v/>
      </c>
      <c r="G42" t="str">
        <f>IFERROR(INDEX(Listas!$Q$2:$Q$6,MATCH(C42,Listas!$P$2:$P$6,0)),"")</f>
        <v/>
      </c>
    </row>
    <row r="43" spans="5:7" x14ac:dyDescent="0.35">
      <c r="E43" t="str">
        <f t="shared" si="2"/>
        <v/>
      </c>
      <c r="F43" t="str">
        <f t="shared" si="3"/>
        <v/>
      </c>
      <c r="G43" t="str">
        <f>IFERROR(INDEX(Listas!$Q$2:$Q$6,MATCH(C43,Listas!$P$2:$P$6,0)),"")</f>
        <v/>
      </c>
    </row>
    <row r="44" spans="5:7" x14ac:dyDescent="0.35">
      <c r="E44" t="str">
        <f t="shared" si="2"/>
        <v/>
      </c>
      <c r="F44" t="str">
        <f t="shared" si="3"/>
        <v/>
      </c>
      <c r="G44" t="str">
        <f>IFERROR(INDEX(Listas!$Q$2:$Q$6,MATCH(C44,Listas!$P$2:$P$6,0)),"")</f>
        <v/>
      </c>
    </row>
    <row r="45" spans="5:7" x14ac:dyDescent="0.35">
      <c r="E45" t="str">
        <f t="shared" si="2"/>
        <v/>
      </c>
      <c r="F45" t="str">
        <f t="shared" si="3"/>
        <v/>
      </c>
      <c r="G45" t="str">
        <f>IFERROR(INDEX(Listas!$Q$2:$Q$6,MATCH(C45,Listas!$P$2:$P$6,0)),"")</f>
        <v/>
      </c>
    </row>
    <row r="46" spans="5:7" x14ac:dyDescent="0.35">
      <c r="E46" t="str">
        <f t="shared" si="2"/>
        <v/>
      </c>
      <c r="F46" t="str">
        <f t="shared" si="3"/>
        <v/>
      </c>
      <c r="G46" t="str">
        <f>IFERROR(INDEX(Listas!$Q$2:$Q$6,MATCH(C46,Listas!$P$2:$P$6,0)),"")</f>
        <v/>
      </c>
    </row>
    <row r="47" spans="5:7" x14ac:dyDescent="0.35">
      <c r="E47" t="str">
        <f t="shared" si="2"/>
        <v/>
      </c>
      <c r="F47" t="str">
        <f t="shared" si="3"/>
        <v/>
      </c>
      <c r="G47" t="str">
        <f>IFERROR(INDEX(Listas!$Q$2:$Q$6,MATCH(C47,Listas!$P$2:$P$6,0)),"")</f>
        <v/>
      </c>
    </row>
    <row r="48" spans="5:7" x14ac:dyDescent="0.35">
      <c r="E48" t="str">
        <f t="shared" si="2"/>
        <v/>
      </c>
      <c r="F48" t="str">
        <f t="shared" si="3"/>
        <v/>
      </c>
      <c r="G48" t="str">
        <f>IFERROR(INDEX(Listas!$Q$2:$Q$6,MATCH(C48,Listas!$P$2:$P$6,0)),"")</f>
        <v/>
      </c>
    </row>
    <row r="49" spans="5:7" x14ac:dyDescent="0.35">
      <c r="E49" t="str">
        <f t="shared" si="2"/>
        <v/>
      </c>
      <c r="F49" t="str">
        <f t="shared" si="3"/>
        <v/>
      </c>
      <c r="G49" t="str">
        <f>IFERROR(INDEX(Listas!$Q$2:$Q$6,MATCH(C49,Listas!$P$2:$P$6,0)),"")</f>
        <v/>
      </c>
    </row>
    <row r="50" spans="5:7" x14ac:dyDescent="0.35">
      <c r="E50" t="str">
        <f t="shared" si="2"/>
        <v/>
      </c>
      <c r="F50" t="str">
        <f t="shared" si="3"/>
        <v/>
      </c>
      <c r="G50" t="str">
        <f>IFERROR(INDEX(Listas!$Q$2:$Q$6,MATCH(C50,Listas!$P$2:$P$6,0)),"")</f>
        <v/>
      </c>
    </row>
    <row r="51" spans="5:7" x14ac:dyDescent="0.35">
      <c r="E51" t="str">
        <f t="shared" si="2"/>
        <v/>
      </c>
      <c r="F51" t="str">
        <f t="shared" si="3"/>
        <v/>
      </c>
      <c r="G51" t="str">
        <f>IFERROR(INDEX(Listas!$Q$2:$Q$6,MATCH(C51,Listas!$P$2:$P$6,0)),"")</f>
        <v/>
      </c>
    </row>
    <row r="52" spans="5:7" x14ac:dyDescent="0.35">
      <c r="E52" t="str">
        <f t="shared" si="2"/>
        <v/>
      </c>
      <c r="F52" t="str">
        <f t="shared" si="3"/>
        <v/>
      </c>
      <c r="G52" t="str">
        <f>IFERROR(INDEX(Listas!$Q$2:$Q$6,MATCH(C52,Listas!$P$2:$P$6,0)),"")</f>
        <v/>
      </c>
    </row>
    <row r="53" spans="5:7" x14ac:dyDescent="0.35">
      <c r="E53" t="str">
        <f t="shared" si="2"/>
        <v/>
      </c>
      <c r="F53" t="str">
        <f t="shared" si="3"/>
        <v/>
      </c>
      <c r="G53" t="str">
        <f>IFERROR(INDEX(Listas!$Q$2:$Q$6,MATCH(C53,Listas!$P$2:$P$6,0)),"")</f>
        <v/>
      </c>
    </row>
    <row r="54" spans="5:7" x14ac:dyDescent="0.35">
      <c r="E54" t="str">
        <f t="shared" si="2"/>
        <v/>
      </c>
      <c r="F54" t="str">
        <f t="shared" si="3"/>
        <v/>
      </c>
      <c r="G54" t="str">
        <f>IFERROR(INDEX(Listas!$Q$2:$Q$6,MATCH(C54,Listas!$P$2:$P$6,0)),"")</f>
        <v/>
      </c>
    </row>
    <row r="55" spans="5:7" x14ac:dyDescent="0.35">
      <c r="E55" t="str">
        <f t="shared" si="2"/>
        <v/>
      </c>
      <c r="F55" t="str">
        <f t="shared" si="3"/>
        <v/>
      </c>
      <c r="G55" t="str">
        <f>IFERROR(INDEX(Listas!$Q$2:$Q$6,MATCH(C55,Listas!$P$2:$P$6,0)),"")</f>
        <v/>
      </c>
    </row>
    <row r="56" spans="5:7" x14ac:dyDescent="0.35">
      <c r="E56" t="str">
        <f t="shared" si="2"/>
        <v/>
      </c>
      <c r="F56" t="str">
        <f t="shared" si="3"/>
        <v/>
      </c>
      <c r="G56" t="str">
        <f>IFERROR(INDEX(Listas!$Q$2:$Q$6,MATCH(C56,Listas!$P$2:$P$6,0)),"")</f>
        <v/>
      </c>
    </row>
    <row r="57" spans="5:7" x14ac:dyDescent="0.35">
      <c r="E57" t="str">
        <f t="shared" si="2"/>
        <v/>
      </c>
      <c r="F57" t="str">
        <f t="shared" si="3"/>
        <v/>
      </c>
      <c r="G57" t="str">
        <f>IFERROR(INDEX(Listas!$Q$2:$Q$6,MATCH(C57,Listas!$P$2:$P$6,0)),"")</f>
        <v/>
      </c>
    </row>
    <row r="58" spans="5:7" x14ac:dyDescent="0.35">
      <c r="E58" t="str">
        <f t="shared" si="2"/>
        <v/>
      </c>
      <c r="F58" t="str">
        <f t="shared" si="3"/>
        <v/>
      </c>
      <c r="G58" t="str">
        <f>IFERROR(INDEX(Listas!$Q$2:$Q$6,MATCH(C58,Listas!$P$2:$P$6,0)),"")</f>
        <v/>
      </c>
    </row>
    <row r="59" spans="5:7" x14ac:dyDescent="0.35">
      <c r="E59" t="str">
        <f t="shared" si="2"/>
        <v/>
      </c>
      <c r="F59" t="str">
        <f t="shared" si="3"/>
        <v/>
      </c>
      <c r="G59" t="str">
        <f>IFERROR(INDEX(Listas!$Q$2:$Q$6,MATCH(C59,Listas!$P$2:$P$6,0)),"")</f>
        <v/>
      </c>
    </row>
    <row r="60" spans="5:7" x14ac:dyDescent="0.35">
      <c r="E60" t="str">
        <f t="shared" si="2"/>
        <v/>
      </c>
      <c r="F60" t="str">
        <f t="shared" si="3"/>
        <v/>
      </c>
      <c r="G60" t="str">
        <f>IFERROR(INDEX(Listas!$Q$2:$Q$6,MATCH(C60,Listas!$P$2:$P$6,0)),"")</f>
        <v/>
      </c>
    </row>
    <row r="61" spans="5:7" x14ac:dyDescent="0.35">
      <c r="E61" t="str">
        <f t="shared" si="2"/>
        <v/>
      </c>
      <c r="F61" t="str">
        <f t="shared" si="3"/>
        <v/>
      </c>
      <c r="G61" t="str">
        <f>IFERROR(INDEX(Listas!$Q$2:$Q$6,MATCH(C61,Listas!$P$2:$P$6,0)),"")</f>
        <v/>
      </c>
    </row>
  </sheetData>
  <autoFilter ref="A1:C1"/>
  <conditionalFormatting sqref="A3:A61">
    <cfRule type="expression" dxfId="87" priority="2">
      <formula>AND($A3="",COUNTA($A3:$C3)&gt;0)</formula>
    </cfRule>
  </conditionalFormatting>
  <conditionalFormatting sqref="B3:B61">
    <cfRule type="expression" dxfId="86" priority="3">
      <formula>AND($B3="",COUNTA($A3:$C3)&gt;0)</formula>
    </cfRule>
  </conditionalFormatting>
  <conditionalFormatting sqref="C3:C61">
    <cfRule type="expression" dxfId="85" priority="4">
      <formula>AND($C3="",COUNTA($A3:$C3)&gt;0)</formula>
    </cfRule>
  </conditionalFormatting>
  <dataValidations count="1">
    <dataValidation type="textLength" operator="lessThanOrEqual" allowBlank="1" errorTitle="Texto muito longo" error="Máximo de 50 caracteres" sqref="A2:B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Listas!$P$2:$P$6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20" customWidth="1"/>
    <col min="2" max="3" width="18" customWidth="1"/>
    <col min="5" max="7" width="16" hidden="1" customWidth="1"/>
  </cols>
  <sheetData>
    <row r="1" spans="1:7" ht="31.5" customHeight="1" x14ac:dyDescent="0.35">
      <c r="A1" s="9" t="s">
        <v>31</v>
      </c>
      <c r="B1" s="9" t="s">
        <v>32</v>
      </c>
      <c r="C1" s="9" t="s">
        <v>59</v>
      </c>
      <c r="E1" s="10" t="s">
        <v>34</v>
      </c>
      <c r="F1" s="10" t="s">
        <v>35</v>
      </c>
      <c r="G1" s="10" t="s">
        <v>63</v>
      </c>
    </row>
    <row r="2" spans="1:7" x14ac:dyDescent="0.35">
      <c r="A2" s="11" t="s">
        <v>61</v>
      </c>
      <c r="B2" s="11" t="s">
        <v>64</v>
      </c>
      <c r="C2" s="11" t="s">
        <v>61</v>
      </c>
      <c r="E2" t="str">
        <f t="shared" ref="E2:E33" si="0">IF(A2="","",A2)</f>
        <v>Ativo</v>
      </c>
      <c r="F2" t="str">
        <f t="shared" ref="F2:F33" si="1">IF(B2="","",B2)</f>
        <v>STATUSENT-001</v>
      </c>
      <c r="G2" t="str">
        <f>IFERROR(INDEX(Listas!$T$2:$T$4,MATCH(C2,Listas!$S$2:$S$4,0)),"")</f>
        <v>active</v>
      </c>
    </row>
    <row r="3" spans="1:7" x14ac:dyDescent="0.35">
      <c r="E3" t="str">
        <f t="shared" si="0"/>
        <v/>
      </c>
      <c r="F3" t="str">
        <f t="shared" si="1"/>
        <v/>
      </c>
      <c r="G3" t="str">
        <f>IFERROR(INDEX(Listas!$T$2:$T$4,MATCH(C3,Listas!$S$2:$S$4,0)),"")</f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>IFERROR(INDEX(Listas!$T$2:$T$4,MATCH(C4,Listas!$S$2:$S$4,0)),"")</f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>IFERROR(INDEX(Listas!$T$2:$T$4,MATCH(C5,Listas!$S$2:$S$4,0)),"")</f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>IFERROR(INDEX(Listas!$T$2:$T$4,MATCH(C6,Listas!$S$2:$S$4,0)),"")</f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>IFERROR(INDEX(Listas!$T$2:$T$4,MATCH(C7,Listas!$S$2:$S$4,0)),"")</f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>IFERROR(INDEX(Listas!$T$2:$T$4,MATCH(C8,Listas!$S$2:$S$4,0)),"")</f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>IFERROR(INDEX(Listas!$T$2:$T$4,MATCH(C9,Listas!$S$2:$S$4,0)),"")</f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>IFERROR(INDEX(Listas!$T$2:$T$4,MATCH(C10,Listas!$S$2:$S$4,0)),"")</f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>IFERROR(INDEX(Listas!$T$2:$T$4,MATCH(C11,Listas!$S$2:$S$4,0)),"")</f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>IFERROR(INDEX(Listas!$T$2:$T$4,MATCH(C12,Listas!$S$2:$S$4,0)),"")</f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>IFERROR(INDEX(Listas!$T$2:$T$4,MATCH(C13,Listas!$S$2:$S$4,0)),"")</f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>IFERROR(INDEX(Listas!$T$2:$T$4,MATCH(C14,Listas!$S$2:$S$4,0)),"")</f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>IFERROR(INDEX(Listas!$T$2:$T$4,MATCH(C15,Listas!$S$2:$S$4,0)),"")</f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>IFERROR(INDEX(Listas!$T$2:$T$4,MATCH(C16,Listas!$S$2:$S$4,0)),"")</f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>IFERROR(INDEX(Listas!$T$2:$T$4,MATCH(C17,Listas!$S$2:$S$4,0)),"")</f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>IFERROR(INDEX(Listas!$T$2:$T$4,MATCH(C18,Listas!$S$2:$S$4,0)),"")</f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>IFERROR(INDEX(Listas!$T$2:$T$4,MATCH(C19,Listas!$S$2:$S$4,0)),"")</f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>IFERROR(INDEX(Listas!$T$2:$T$4,MATCH(C20,Listas!$S$2:$S$4,0)),"")</f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>IFERROR(INDEX(Listas!$T$2:$T$4,MATCH(C21,Listas!$S$2:$S$4,0)),"")</f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>IFERROR(INDEX(Listas!$T$2:$T$4,MATCH(C22,Listas!$S$2:$S$4,0)),"")</f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>IFERROR(INDEX(Listas!$T$2:$T$4,MATCH(C23,Listas!$S$2:$S$4,0)),"")</f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>IFERROR(INDEX(Listas!$T$2:$T$4,MATCH(C24,Listas!$S$2:$S$4,0)),"")</f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>IFERROR(INDEX(Listas!$T$2:$T$4,MATCH(C25,Listas!$S$2:$S$4,0)),"")</f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>IFERROR(INDEX(Listas!$T$2:$T$4,MATCH(C26,Listas!$S$2:$S$4,0)),"")</f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>IFERROR(INDEX(Listas!$T$2:$T$4,MATCH(C27,Listas!$S$2:$S$4,0)),"")</f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>IFERROR(INDEX(Listas!$T$2:$T$4,MATCH(C28,Listas!$S$2:$S$4,0)),"")</f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>IFERROR(INDEX(Listas!$T$2:$T$4,MATCH(C29,Listas!$S$2:$S$4,0)),"")</f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>IFERROR(INDEX(Listas!$T$2:$T$4,MATCH(C30,Listas!$S$2:$S$4,0)),"")</f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>IFERROR(INDEX(Listas!$T$2:$T$4,MATCH(C31,Listas!$S$2:$S$4,0)),"")</f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>IFERROR(INDEX(Listas!$T$2:$T$4,MATCH(C32,Listas!$S$2:$S$4,0)),"")</f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>IFERROR(INDEX(Listas!$T$2:$T$4,MATCH(C33,Listas!$S$2:$S$4,0)),"")</f>
        <v/>
      </c>
    </row>
    <row r="34" spans="5:7" x14ac:dyDescent="0.35">
      <c r="E34" t="str">
        <f t="shared" ref="E34:E61" si="2">IF(A34="","",A34)</f>
        <v/>
      </c>
      <c r="F34" t="str">
        <f t="shared" ref="F34:F61" si="3">IF(B34="","",B34)</f>
        <v/>
      </c>
      <c r="G34" t="str">
        <f>IFERROR(INDEX(Listas!$T$2:$T$4,MATCH(C34,Listas!$S$2:$S$4,0)),"")</f>
        <v/>
      </c>
    </row>
    <row r="35" spans="5:7" x14ac:dyDescent="0.35">
      <c r="E35" t="str">
        <f t="shared" si="2"/>
        <v/>
      </c>
      <c r="F35" t="str">
        <f t="shared" si="3"/>
        <v/>
      </c>
      <c r="G35" t="str">
        <f>IFERROR(INDEX(Listas!$T$2:$T$4,MATCH(C35,Listas!$S$2:$S$4,0)),"")</f>
        <v/>
      </c>
    </row>
    <row r="36" spans="5:7" x14ac:dyDescent="0.35">
      <c r="E36" t="str">
        <f t="shared" si="2"/>
        <v/>
      </c>
      <c r="F36" t="str">
        <f t="shared" si="3"/>
        <v/>
      </c>
      <c r="G36" t="str">
        <f>IFERROR(INDEX(Listas!$T$2:$T$4,MATCH(C36,Listas!$S$2:$S$4,0)),"")</f>
        <v/>
      </c>
    </row>
    <row r="37" spans="5:7" x14ac:dyDescent="0.35">
      <c r="E37" t="str">
        <f t="shared" si="2"/>
        <v/>
      </c>
      <c r="F37" t="str">
        <f t="shared" si="3"/>
        <v/>
      </c>
      <c r="G37" t="str">
        <f>IFERROR(INDEX(Listas!$T$2:$T$4,MATCH(C37,Listas!$S$2:$S$4,0)),"")</f>
        <v/>
      </c>
    </row>
    <row r="38" spans="5:7" x14ac:dyDescent="0.35">
      <c r="E38" t="str">
        <f t="shared" si="2"/>
        <v/>
      </c>
      <c r="F38" t="str">
        <f t="shared" si="3"/>
        <v/>
      </c>
      <c r="G38" t="str">
        <f>IFERROR(INDEX(Listas!$T$2:$T$4,MATCH(C38,Listas!$S$2:$S$4,0)),"")</f>
        <v/>
      </c>
    </row>
    <row r="39" spans="5:7" x14ac:dyDescent="0.35">
      <c r="E39" t="str">
        <f t="shared" si="2"/>
        <v/>
      </c>
      <c r="F39" t="str">
        <f t="shared" si="3"/>
        <v/>
      </c>
      <c r="G39" t="str">
        <f>IFERROR(INDEX(Listas!$T$2:$T$4,MATCH(C39,Listas!$S$2:$S$4,0)),"")</f>
        <v/>
      </c>
    </row>
    <row r="40" spans="5:7" x14ac:dyDescent="0.35">
      <c r="E40" t="str">
        <f t="shared" si="2"/>
        <v/>
      </c>
      <c r="F40" t="str">
        <f t="shared" si="3"/>
        <v/>
      </c>
      <c r="G40" t="str">
        <f>IFERROR(INDEX(Listas!$T$2:$T$4,MATCH(C40,Listas!$S$2:$S$4,0)),"")</f>
        <v/>
      </c>
    </row>
    <row r="41" spans="5:7" x14ac:dyDescent="0.35">
      <c r="E41" t="str">
        <f t="shared" si="2"/>
        <v/>
      </c>
      <c r="F41" t="str">
        <f t="shared" si="3"/>
        <v/>
      </c>
      <c r="G41" t="str">
        <f>IFERROR(INDEX(Listas!$T$2:$T$4,MATCH(C41,Listas!$S$2:$S$4,0)),"")</f>
        <v/>
      </c>
    </row>
    <row r="42" spans="5:7" x14ac:dyDescent="0.35">
      <c r="E42" t="str">
        <f t="shared" si="2"/>
        <v/>
      </c>
      <c r="F42" t="str">
        <f t="shared" si="3"/>
        <v/>
      </c>
      <c r="G42" t="str">
        <f>IFERROR(INDEX(Listas!$T$2:$T$4,MATCH(C42,Listas!$S$2:$S$4,0)),"")</f>
        <v/>
      </c>
    </row>
    <row r="43" spans="5:7" x14ac:dyDescent="0.35">
      <c r="E43" t="str">
        <f t="shared" si="2"/>
        <v/>
      </c>
      <c r="F43" t="str">
        <f t="shared" si="3"/>
        <v/>
      </c>
      <c r="G43" t="str">
        <f>IFERROR(INDEX(Listas!$T$2:$T$4,MATCH(C43,Listas!$S$2:$S$4,0)),"")</f>
        <v/>
      </c>
    </row>
    <row r="44" spans="5:7" x14ac:dyDescent="0.35">
      <c r="E44" t="str">
        <f t="shared" si="2"/>
        <v/>
      </c>
      <c r="F44" t="str">
        <f t="shared" si="3"/>
        <v/>
      </c>
      <c r="G44" t="str">
        <f>IFERROR(INDEX(Listas!$T$2:$T$4,MATCH(C44,Listas!$S$2:$S$4,0)),"")</f>
        <v/>
      </c>
    </row>
    <row r="45" spans="5:7" x14ac:dyDescent="0.35">
      <c r="E45" t="str">
        <f t="shared" si="2"/>
        <v/>
      </c>
      <c r="F45" t="str">
        <f t="shared" si="3"/>
        <v/>
      </c>
      <c r="G45" t="str">
        <f>IFERROR(INDEX(Listas!$T$2:$T$4,MATCH(C45,Listas!$S$2:$S$4,0)),"")</f>
        <v/>
      </c>
    </row>
    <row r="46" spans="5:7" x14ac:dyDescent="0.35">
      <c r="E46" t="str">
        <f t="shared" si="2"/>
        <v/>
      </c>
      <c r="F46" t="str">
        <f t="shared" si="3"/>
        <v/>
      </c>
      <c r="G46" t="str">
        <f>IFERROR(INDEX(Listas!$T$2:$T$4,MATCH(C46,Listas!$S$2:$S$4,0)),"")</f>
        <v/>
      </c>
    </row>
    <row r="47" spans="5:7" x14ac:dyDescent="0.35">
      <c r="E47" t="str">
        <f t="shared" si="2"/>
        <v/>
      </c>
      <c r="F47" t="str">
        <f t="shared" si="3"/>
        <v/>
      </c>
      <c r="G47" t="str">
        <f>IFERROR(INDEX(Listas!$T$2:$T$4,MATCH(C47,Listas!$S$2:$S$4,0)),"")</f>
        <v/>
      </c>
    </row>
    <row r="48" spans="5:7" x14ac:dyDescent="0.35">
      <c r="E48" t="str">
        <f t="shared" si="2"/>
        <v/>
      </c>
      <c r="F48" t="str">
        <f t="shared" si="3"/>
        <v/>
      </c>
      <c r="G48" t="str">
        <f>IFERROR(INDEX(Listas!$T$2:$T$4,MATCH(C48,Listas!$S$2:$S$4,0)),"")</f>
        <v/>
      </c>
    </row>
    <row r="49" spans="5:7" x14ac:dyDescent="0.35">
      <c r="E49" t="str">
        <f t="shared" si="2"/>
        <v/>
      </c>
      <c r="F49" t="str">
        <f t="shared" si="3"/>
        <v/>
      </c>
      <c r="G49" t="str">
        <f>IFERROR(INDEX(Listas!$T$2:$T$4,MATCH(C49,Listas!$S$2:$S$4,0)),"")</f>
        <v/>
      </c>
    </row>
    <row r="50" spans="5:7" x14ac:dyDescent="0.35">
      <c r="E50" t="str">
        <f t="shared" si="2"/>
        <v/>
      </c>
      <c r="F50" t="str">
        <f t="shared" si="3"/>
        <v/>
      </c>
      <c r="G50" t="str">
        <f>IFERROR(INDEX(Listas!$T$2:$T$4,MATCH(C50,Listas!$S$2:$S$4,0)),"")</f>
        <v/>
      </c>
    </row>
    <row r="51" spans="5:7" x14ac:dyDescent="0.35">
      <c r="E51" t="str">
        <f t="shared" si="2"/>
        <v/>
      </c>
      <c r="F51" t="str">
        <f t="shared" si="3"/>
        <v/>
      </c>
      <c r="G51" t="str">
        <f>IFERROR(INDEX(Listas!$T$2:$T$4,MATCH(C51,Listas!$S$2:$S$4,0)),"")</f>
        <v/>
      </c>
    </row>
    <row r="52" spans="5:7" x14ac:dyDescent="0.35">
      <c r="E52" t="str">
        <f t="shared" si="2"/>
        <v/>
      </c>
      <c r="F52" t="str">
        <f t="shared" si="3"/>
        <v/>
      </c>
      <c r="G52" t="str">
        <f>IFERROR(INDEX(Listas!$T$2:$T$4,MATCH(C52,Listas!$S$2:$S$4,0)),"")</f>
        <v/>
      </c>
    </row>
    <row r="53" spans="5:7" x14ac:dyDescent="0.35">
      <c r="E53" t="str">
        <f t="shared" si="2"/>
        <v/>
      </c>
      <c r="F53" t="str">
        <f t="shared" si="3"/>
        <v/>
      </c>
      <c r="G53" t="str">
        <f>IFERROR(INDEX(Listas!$T$2:$T$4,MATCH(C53,Listas!$S$2:$S$4,0)),"")</f>
        <v/>
      </c>
    </row>
    <row r="54" spans="5:7" x14ac:dyDescent="0.35">
      <c r="E54" t="str">
        <f t="shared" si="2"/>
        <v/>
      </c>
      <c r="F54" t="str">
        <f t="shared" si="3"/>
        <v/>
      </c>
      <c r="G54" t="str">
        <f>IFERROR(INDEX(Listas!$T$2:$T$4,MATCH(C54,Listas!$S$2:$S$4,0)),"")</f>
        <v/>
      </c>
    </row>
    <row r="55" spans="5:7" x14ac:dyDescent="0.35">
      <c r="E55" t="str">
        <f t="shared" si="2"/>
        <v/>
      </c>
      <c r="F55" t="str">
        <f t="shared" si="3"/>
        <v/>
      </c>
      <c r="G55" t="str">
        <f>IFERROR(INDEX(Listas!$T$2:$T$4,MATCH(C55,Listas!$S$2:$S$4,0)),"")</f>
        <v/>
      </c>
    </row>
    <row r="56" spans="5:7" x14ac:dyDescent="0.35">
      <c r="E56" t="str">
        <f t="shared" si="2"/>
        <v/>
      </c>
      <c r="F56" t="str">
        <f t="shared" si="3"/>
        <v/>
      </c>
      <c r="G56" t="str">
        <f>IFERROR(INDEX(Listas!$T$2:$T$4,MATCH(C56,Listas!$S$2:$S$4,0)),"")</f>
        <v/>
      </c>
    </row>
    <row r="57" spans="5:7" x14ac:dyDescent="0.35">
      <c r="E57" t="str">
        <f t="shared" si="2"/>
        <v/>
      </c>
      <c r="F57" t="str">
        <f t="shared" si="3"/>
        <v/>
      </c>
      <c r="G57" t="str">
        <f>IFERROR(INDEX(Listas!$T$2:$T$4,MATCH(C57,Listas!$S$2:$S$4,0)),"")</f>
        <v/>
      </c>
    </row>
    <row r="58" spans="5:7" x14ac:dyDescent="0.35">
      <c r="E58" t="str">
        <f t="shared" si="2"/>
        <v/>
      </c>
      <c r="F58" t="str">
        <f t="shared" si="3"/>
        <v/>
      </c>
      <c r="G58" t="str">
        <f>IFERROR(INDEX(Listas!$T$2:$T$4,MATCH(C58,Listas!$S$2:$S$4,0)),"")</f>
        <v/>
      </c>
    </row>
    <row r="59" spans="5:7" x14ac:dyDescent="0.35">
      <c r="E59" t="str">
        <f t="shared" si="2"/>
        <v/>
      </c>
      <c r="F59" t="str">
        <f t="shared" si="3"/>
        <v/>
      </c>
      <c r="G59" t="str">
        <f>IFERROR(INDEX(Listas!$T$2:$T$4,MATCH(C59,Listas!$S$2:$S$4,0)),"")</f>
        <v/>
      </c>
    </row>
    <row r="60" spans="5:7" x14ac:dyDescent="0.35">
      <c r="E60" t="str">
        <f t="shared" si="2"/>
        <v/>
      </c>
      <c r="F60" t="str">
        <f t="shared" si="3"/>
        <v/>
      </c>
      <c r="G60" t="str">
        <f>IFERROR(INDEX(Listas!$T$2:$T$4,MATCH(C60,Listas!$S$2:$S$4,0)),"")</f>
        <v/>
      </c>
    </row>
    <row r="61" spans="5:7" x14ac:dyDescent="0.35">
      <c r="E61" t="str">
        <f t="shared" si="2"/>
        <v/>
      </c>
      <c r="F61" t="str">
        <f t="shared" si="3"/>
        <v/>
      </c>
      <c r="G61" t="str">
        <f>IFERROR(INDEX(Listas!$T$2:$T$4,MATCH(C61,Listas!$S$2:$S$4,0)),"")</f>
        <v/>
      </c>
    </row>
  </sheetData>
  <autoFilter ref="A1:C1"/>
  <conditionalFormatting sqref="A3:A61">
    <cfRule type="expression" dxfId="84" priority="2">
      <formula>AND($A3="",COUNTA($A3:$C3)&gt;0)</formula>
    </cfRule>
  </conditionalFormatting>
  <conditionalFormatting sqref="B3:B61">
    <cfRule type="expression" dxfId="83" priority="3">
      <formula>AND($B3="",COUNTA($A3:$C3)&gt;0)</formula>
    </cfRule>
  </conditionalFormatting>
  <conditionalFormatting sqref="C3:C61">
    <cfRule type="expression" dxfId="82" priority="4">
      <formula>AND($C3="",COUNTA($A3:$C3)&gt;0)</formula>
    </cfRule>
  </conditionalFormatting>
  <dataValidations count="1">
    <dataValidation type="textLength" operator="lessThanOrEqual" allowBlank="1" errorTitle="Texto muito longo" error="Máximo de 50 caracteres" sqref="A2:B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Listas!$S$2:$S$4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E6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54296875" defaultRowHeight="14.5" x14ac:dyDescent="0.35"/>
  <cols>
    <col min="1" max="1" width="22" customWidth="1"/>
    <col min="2" max="2" width="16" customWidth="1"/>
    <col min="4" max="5" width="16" hidden="1" customWidth="1"/>
  </cols>
  <sheetData>
    <row r="1" spans="1:5" ht="31.5" customHeight="1" x14ac:dyDescent="0.35">
      <c r="A1" s="9" t="s">
        <v>31</v>
      </c>
      <c r="B1" s="9" t="s">
        <v>32</v>
      </c>
      <c r="D1" s="10" t="s">
        <v>34</v>
      </c>
      <c r="E1" s="10" t="s">
        <v>35</v>
      </c>
    </row>
    <row r="2" spans="1:5" x14ac:dyDescent="0.35">
      <c r="A2" s="11" t="s">
        <v>65</v>
      </c>
      <c r="B2" s="11" t="s">
        <v>66</v>
      </c>
      <c r="D2" t="str">
        <f t="shared" ref="D2:D33" si="0">IF(A2="","",A2)</f>
        <v>Regular</v>
      </c>
      <c r="E2" t="str">
        <f t="shared" ref="E2:E33" si="1">IF(B2="","",B2)</f>
        <v>TYPE-001</v>
      </c>
    </row>
    <row r="3" spans="1:5" x14ac:dyDescent="0.35">
      <c r="D3" t="str">
        <f t="shared" si="0"/>
        <v/>
      </c>
      <c r="E3" t="str">
        <f t="shared" si="1"/>
        <v/>
      </c>
    </row>
    <row r="4" spans="1:5" x14ac:dyDescent="0.35">
      <c r="D4" t="str">
        <f t="shared" si="0"/>
        <v/>
      </c>
      <c r="E4" t="str">
        <f t="shared" si="1"/>
        <v/>
      </c>
    </row>
    <row r="5" spans="1:5" x14ac:dyDescent="0.35">
      <c r="D5" t="str">
        <f t="shared" si="0"/>
        <v/>
      </c>
      <c r="E5" t="str">
        <f t="shared" si="1"/>
        <v/>
      </c>
    </row>
    <row r="6" spans="1:5" x14ac:dyDescent="0.35">
      <c r="D6" t="str">
        <f t="shared" si="0"/>
        <v/>
      </c>
      <c r="E6" t="str">
        <f t="shared" si="1"/>
        <v/>
      </c>
    </row>
    <row r="7" spans="1:5" x14ac:dyDescent="0.35">
      <c r="D7" t="str">
        <f t="shared" si="0"/>
        <v/>
      </c>
      <c r="E7" t="str">
        <f t="shared" si="1"/>
        <v/>
      </c>
    </row>
    <row r="8" spans="1:5" x14ac:dyDescent="0.35">
      <c r="D8" t="str">
        <f t="shared" si="0"/>
        <v/>
      </c>
      <c r="E8" t="str">
        <f t="shared" si="1"/>
        <v/>
      </c>
    </row>
    <row r="9" spans="1:5" x14ac:dyDescent="0.35">
      <c r="D9" t="str">
        <f t="shared" si="0"/>
        <v/>
      </c>
      <c r="E9" t="str">
        <f t="shared" si="1"/>
        <v/>
      </c>
    </row>
    <row r="10" spans="1:5" x14ac:dyDescent="0.35">
      <c r="D10" t="str">
        <f t="shared" si="0"/>
        <v/>
      </c>
      <c r="E10" t="str">
        <f t="shared" si="1"/>
        <v/>
      </c>
    </row>
    <row r="11" spans="1:5" x14ac:dyDescent="0.35">
      <c r="D11" t="str">
        <f t="shared" si="0"/>
        <v/>
      </c>
      <c r="E11" t="str">
        <f t="shared" si="1"/>
        <v/>
      </c>
    </row>
    <row r="12" spans="1:5" x14ac:dyDescent="0.35">
      <c r="D12" t="str">
        <f t="shared" si="0"/>
        <v/>
      </c>
      <c r="E12" t="str">
        <f t="shared" si="1"/>
        <v/>
      </c>
    </row>
    <row r="13" spans="1:5" x14ac:dyDescent="0.35">
      <c r="D13" t="str">
        <f t="shared" si="0"/>
        <v/>
      </c>
      <c r="E13" t="str">
        <f t="shared" si="1"/>
        <v/>
      </c>
    </row>
    <row r="14" spans="1:5" x14ac:dyDescent="0.35">
      <c r="D14" t="str">
        <f t="shared" si="0"/>
        <v/>
      </c>
      <c r="E14" t="str">
        <f t="shared" si="1"/>
        <v/>
      </c>
    </row>
    <row r="15" spans="1:5" x14ac:dyDescent="0.35">
      <c r="D15" t="str">
        <f t="shared" si="0"/>
        <v/>
      </c>
      <c r="E15" t="str">
        <f t="shared" si="1"/>
        <v/>
      </c>
    </row>
    <row r="16" spans="1:5" x14ac:dyDescent="0.35">
      <c r="D16" t="str">
        <f t="shared" si="0"/>
        <v/>
      </c>
      <c r="E16" t="str">
        <f t="shared" si="1"/>
        <v/>
      </c>
    </row>
    <row r="17" spans="4:5" x14ac:dyDescent="0.35">
      <c r="D17" t="str">
        <f t="shared" si="0"/>
        <v/>
      </c>
      <c r="E17" t="str">
        <f t="shared" si="1"/>
        <v/>
      </c>
    </row>
    <row r="18" spans="4:5" x14ac:dyDescent="0.35">
      <c r="D18" t="str">
        <f t="shared" si="0"/>
        <v/>
      </c>
      <c r="E18" t="str">
        <f t="shared" si="1"/>
        <v/>
      </c>
    </row>
    <row r="19" spans="4:5" x14ac:dyDescent="0.35">
      <c r="D19" t="str">
        <f t="shared" si="0"/>
        <v/>
      </c>
      <c r="E19" t="str">
        <f t="shared" si="1"/>
        <v/>
      </c>
    </row>
    <row r="20" spans="4:5" x14ac:dyDescent="0.35">
      <c r="D20" t="str">
        <f t="shared" si="0"/>
        <v/>
      </c>
      <c r="E20" t="str">
        <f t="shared" si="1"/>
        <v/>
      </c>
    </row>
    <row r="21" spans="4:5" x14ac:dyDescent="0.35">
      <c r="D21" t="str">
        <f t="shared" si="0"/>
        <v/>
      </c>
      <c r="E21" t="str">
        <f t="shared" si="1"/>
        <v/>
      </c>
    </row>
    <row r="22" spans="4:5" x14ac:dyDescent="0.35">
      <c r="D22" t="str">
        <f t="shared" si="0"/>
        <v/>
      </c>
      <c r="E22" t="str">
        <f t="shared" si="1"/>
        <v/>
      </c>
    </row>
    <row r="23" spans="4:5" x14ac:dyDescent="0.35">
      <c r="D23" t="str">
        <f t="shared" si="0"/>
        <v/>
      </c>
      <c r="E23" t="str">
        <f t="shared" si="1"/>
        <v/>
      </c>
    </row>
    <row r="24" spans="4:5" x14ac:dyDescent="0.35">
      <c r="D24" t="str">
        <f t="shared" si="0"/>
        <v/>
      </c>
      <c r="E24" t="str">
        <f t="shared" si="1"/>
        <v/>
      </c>
    </row>
    <row r="25" spans="4:5" x14ac:dyDescent="0.35">
      <c r="D25" t="str">
        <f t="shared" si="0"/>
        <v/>
      </c>
      <c r="E25" t="str">
        <f t="shared" si="1"/>
        <v/>
      </c>
    </row>
    <row r="26" spans="4:5" x14ac:dyDescent="0.35">
      <c r="D26" t="str">
        <f t="shared" si="0"/>
        <v/>
      </c>
      <c r="E26" t="str">
        <f t="shared" si="1"/>
        <v/>
      </c>
    </row>
    <row r="27" spans="4:5" x14ac:dyDescent="0.35">
      <c r="D27" t="str">
        <f t="shared" si="0"/>
        <v/>
      </c>
      <c r="E27" t="str">
        <f t="shared" si="1"/>
        <v/>
      </c>
    </row>
    <row r="28" spans="4:5" x14ac:dyDescent="0.35">
      <c r="D28" t="str">
        <f t="shared" si="0"/>
        <v/>
      </c>
      <c r="E28" t="str">
        <f t="shared" si="1"/>
        <v/>
      </c>
    </row>
    <row r="29" spans="4:5" x14ac:dyDescent="0.35">
      <c r="D29" t="str">
        <f t="shared" si="0"/>
        <v/>
      </c>
      <c r="E29" t="str">
        <f t="shared" si="1"/>
        <v/>
      </c>
    </row>
    <row r="30" spans="4:5" x14ac:dyDescent="0.35">
      <c r="D30" t="str">
        <f t="shared" si="0"/>
        <v/>
      </c>
      <c r="E30" t="str">
        <f t="shared" si="1"/>
        <v/>
      </c>
    </row>
    <row r="31" spans="4:5" x14ac:dyDescent="0.35">
      <c r="D31" t="str">
        <f t="shared" si="0"/>
        <v/>
      </c>
      <c r="E31" t="str">
        <f t="shared" si="1"/>
        <v/>
      </c>
    </row>
    <row r="32" spans="4:5" x14ac:dyDescent="0.35">
      <c r="D32" t="str">
        <f t="shared" si="0"/>
        <v/>
      </c>
      <c r="E32" t="str">
        <f t="shared" si="1"/>
        <v/>
      </c>
    </row>
    <row r="33" spans="4:5" x14ac:dyDescent="0.35">
      <c r="D33" t="str">
        <f t="shared" si="0"/>
        <v/>
      </c>
      <c r="E33" t="str">
        <f t="shared" si="1"/>
        <v/>
      </c>
    </row>
    <row r="34" spans="4:5" x14ac:dyDescent="0.35">
      <c r="D34" t="str">
        <f t="shared" ref="D34:D61" si="2">IF(A34="","",A34)</f>
        <v/>
      </c>
      <c r="E34" t="str">
        <f t="shared" ref="E34:E61" si="3">IF(B34="","",B34)</f>
        <v/>
      </c>
    </row>
    <row r="35" spans="4:5" x14ac:dyDescent="0.35">
      <c r="D35" t="str">
        <f t="shared" si="2"/>
        <v/>
      </c>
      <c r="E35" t="str">
        <f t="shared" si="3"/>
        <v/>
      </c>
    </row>
    <row r="36" spans="4:5" x14ac:dyDescent="0.35">
      <c r="D36" t="str">
        <f t="shared" si="2"/>
        <v/>
      </c>
      <c r="E36" t="str">
        <f t="shared" si="3"/>
        <v/>
      </c>
    </row>
    <row r="37" spans="4:5" x14ac:dyDescent="0.35">
      <c r="D37" t="str">
        <f t="shared" si="2"/>
        <v/>
      </c>
      <c r="E37" t="str">
        <f t="shared" si="3"/>
        <v/>
      </c>
    </row>
    <row r="38" spans="4:5" x14ac:dyDescent="0.35">
      <c r="D38" t="str">
        <f t="shared" si="2"/>
        <v/>
      </c>
      <c r="E38" t="str">
        <f t="shared" si="3"/>
        <v/>
      </c>
    </row>
    <row r="39" spans="4:5" x14ac:dyDescent="0.35">
      <c r="D39" t="str">
        <f t="shared" si="2"/>
        <v/>
      </c>
      <c r="E39" t="str">
        <f t="shared" si="3"/>
        <v/>
      </c>
    </row>
    <row r="40" spans="4:5" x14ac:dyDescent="0.35">
      <c r="D40" t="str">
        <f t="shared" si="2"/>
        <v/>
      </c>
      <c r="E40" t="str">
        <f t="shared" si="3"/>
        <v/>
      </c>
    </row>
    <row r="41" spans="4:5" x14ac:dyDescent="0.35">
      <c r="D41" t="str">
        <f t="shared" si="2"/>
        <v/>
      </c>
      <c r="E41" t="str">
        <f t="shared" si="3"/>
        <v/>
      </c>
    </row>
    <row r="42" spans="4:5" x14ac:dyDescent="0.35">
      <c r="D42" t="str">
        <f t="shared" si="2"/>
        <v/>
      </c>
      <c r="E42" t="str">
        <f t="shared" si="3"/>
        <v/>
      </c>
    </row>
    <row r="43" spans="4:5" x14ac:dyDescent="0.35">
      <c r="D43" t="str">
        <f t="shared" si="2"/>
        <v/>
      </c>
      <c r="E43" t="str">
        <f t="shared" si="3"/>
        <v/>
      </c>
    </row>
    <row r="44" spans="4:5" x14ac:dyDescent="0.35">
      <c r="D44" t="str">
        <f t="shared" si="2"/>
        <v/>
      </c>
      <c r="E44" t="str">
        <f t="shared" si="3"/>
        <v/>
      </c>
    </row>
    <row r="45" spans="4:5" x14ac:dyDescent="0.35">
      <c r="D45" t="str">
        <f t="shared" si="2"/>
        <v/>
      </c>
      <c r="E45" t="str">
        <f t="shared" si="3"/>
        <v/>
      </c>
    </row>
    <row r="46" spans="4:5" x14ac:dyDescent="0.35">
      <c r="D46" t="str">
        <f t="shared" si="2"/>
        <v/>
      </c>
      <c r="E46" t="str">
        <f t="shared" si="3"/>
        <v/>
      </c>
    </row>
    <row r="47" spans="4:5" x14ac:dyDescent="0.35">
      <c r="D47" t="str">
        <f t="shared" si="2"/>
        <v/>
      </c>
      <c r="E47" t="str">
        <f t="shared" si="3"/>
        <v/>
      </c>
    </row>
    <row r="48" spans="4:5" x14ac:dyDescent="0.35">
      <c r="D48" t="str">
        <f t="shared" si="2"/>
        <v/>
      </c>
      <c r="E48" t="str">
        <f t="shared" si="3"/>
        <v/>
      </c>
    </row>
    <row r="49" spans="4:5" x14ac:dyDescent="0.35">
      <c r="D49" t="str">
        <f t="shared" si="2"/>
        <v/>
      </c>
      <c r="E49" t="str">
        <f t="shared" si="3"/>
        <v/>
      </c>
    </row>
    <row r="50" spans="4:5" x14ac:dyDescent="0.35">
      <c r="D50" t="str">
        <f t="shared" si="2"/>
        <v/>
      </c>
      <c r="E50" t="str">
        <f t="shared" si="3"/>
        <v/>
      </c>
    </row>
    <row r="51" spans="4:5" x14ac:dyDescent="0.35">
      <c r="D51" t="str">
        <f t="shared" si="2"/>
        <v/>
      </c>
      <c r="E51" t="str">
        <f t="shared" si="3"/>
        <v/>
      </c>
    </row>
    <row r="52" spans="4:5" x14ac:dyDescent="0.35">
      <c r="D52" t="str">
        <f t="shared" si="2"/>
        <v/>
      </c>
      <c r="E52" t="str">
        <f t="shared" si="3"/>
        <v/>
      </c>
    </row>
    <row r="53" spans="4:5" x14ac:dyDescent="0.35">
      <c r="D53" t="str">
        <f t="shared" si="2"/>
        <v/>
      </c>
      <c r="E53" t="str">
        <f t="shared" si="3"/>
        <v/>
      </c>
    </row>
    <row r="54" spans="4:5" x14ac:dyDescent="0.35">
      <c r="D54" t="str">
        <f t="shared" si="2"/>
        <v/>
      </c>
      <c r="E54" t="str">
        <f t="shared" si="3"/>
        <v/>
      </c>
    </row>
    <row r="55" spans="4:5" x14ac:dyDescent="0.35">
      <c r="D55" t="str">
        <f t="shared" si="2"/>
        <v/>
      </c>
      <c r="E55" t="str">
        <f t="shared" si="3"/>
        <v/>
      </c>
    </row>
    <row r="56" spans="4:5" x14ac:dyDescent="0.35">
      <c r="D56" t="str">
        <f t="shared" si="2"/>
        <v/>
      </c>
      <c r="E56" t="str">
        <f t="shared" si="3"/>
        <v/>
      </c>
    </row>
    <row r="57" spans="4:5" x14ac:dyDescent="0.35">
      <c r="D57" t="str">
        <f t="shared" si="2"/>
        <v/>
      </c>
      <c r="E57" t="str">
        <f t="shared" si="3"/>
        <v/>
      </c>
    </row>
    <row r="58" spans="4:5" x14ac:dyDescent="0.35">
      <c r="D58" t="str">
        <f t="shared" si="2"/>
        <v/>
      </c>
      <c r="E58" t="str">
        <f t="shared" si="3"/>
        <v/>
      </c>
    </row>
    <row r="59" spans="4:5" x14ac:dyDescent="0.35">
      <c r="D59" t="str">
        <f t="shared" si="2"/>
        <v/>
      </c>
      <c r="E59" t="str">
        <f t="shared" si="3"/>
        <v/>
      </c>
    </row>
    <row r="60" spans="4:5" x14ac:dyDescent="0.35">
      <c r="D60" t="str">
        <f t="shared" si="2"/>
        <v/>
      </c>
      <c r="E60" t="str">
        <f t="shared" si="3"/>
        <v/>
      </c>
    </row>
    <row r="61" spans="4:5" x14ac:dyDescent="0.35">
      <c r="D61" t="str">
        <f t="shared" si="2"/>
        <v/>
      </c>
      <c r="E61" t="str">
        <f t="shared" si="3"/>
        <v/>
      </c>
    </row>
  </sheetData>
  <autoFilter ref="A1:B1"/>
  <conditionalFormatting sqref="A3:A61">
    <cfRule type="expression" dxfId="81" priority="2">
      <formula>AND($A3="",COUNTA($A3:$B3)&gt;0)</formula>
    </cfRule>
  </conditionalFormatting>
  <conditionalFormatting sqref="B3:B61">
    <cfRule type="expression" dxfId="80" priority="3">
      <formula>AND($B3="",COUNTA($A3:$B3)&gt;0)</formula>
    </cfRule>
  </conditionalFormatting>
  <dataValidations count="2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00 caracteres" sqref="A2:A61">
      <formula1>100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 activeCell="C3" sqref="C3"/>
    </sheetView>
  </sheetViews>
  <sheetFormatPr defaultColWidth="8.54296875" defaultRowHeight="14.5" x14ac:dyDescent="0.35"/>
  <cols>
    <col min="1" max="1" width="22" customWidth="1"/>
    <col min="2" max="2" width="16" customWidth="1"/>
    <col min="3" max="3" width="18" customWidth="1"/>
    <col min="5" max="7" width="16" hidden="1" customWidth="1"/>
  </cols>
  <sheetData>
    <row r="1" spans="1:7" ht="31.5" customHeight="1" x14ac:dyDescent="0.35">
      <c r="A1" s="9" t="s">
        <v>31</v>
      </c>
      <c r="B1" s="9" t="s">
        <v>32</v>
      </c>
      <c r="C1" s="9" t="s">
        <v>59</v>
      </c>
      <c r="E1" s="10" t="s">
        <v>34</v>
      </c>
      <c r="F1" s="10" t="s">
        <v>35</v>
      </c>
      <c r="G1" s="10" t="s">
        <v>67</v>
      </c>
    </row>
    <row r="2" spans="1:7" x14ac:dyDescent="0.35">
      <c r="A2" s="11" t="s">
        <v>68</v>
      </c>
      <c r="B2" s="11" t="s">
        <v>69</v>
      </c>
      <c r="C2" s="11" t="s">
        <v>68</v>
      </c>
      <c r="E2" t="str">
        <f t="shared" ref="E2:E33" si="0">IF(A2="","",A2)</f>
        <v>Professor</v>
      </c>
      <c r="F2" t="str">
        <f t="shared" ref="F2:F33" si="1">IF(B2="","",B2)</f>
        <v>ROLE-001</v>
      </c>
      <c r="G2" t="str">
        <f>IFERROR(INDEX(Listas!$W$2:$W$7,MATCH(C2,Listas!$V$2:$V$7,0)),"")</f>
        <v>teacher</v>
      </c>
    </row>
    <row r="3" spans="1:7" x14ac:dyDescent="0.35">
      <c r="E3" t="str">
        <f t="shared" si="0"/>
        <v/>
      </c>
      <c r="F3" t="str">
        <f t="shared" si="1"/>
        <v/>
      </c>
      <c r="G3" t="str">
        <f>IFERROR(INDEX(Listas!$W$2:$W$7,MATCH(C3,Listas!$V$2:$V$7,0)),"")</f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>IFERROR(INDEX(Listas!$W$2:$W$7,MATCH(C4,Listas!$V$2:$V$7,0)),"")</f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>IFERROR(INDEX(Listas!$W$2:$W$7,MATCH(C5,Listas!$V$2:$V$7,0)),"")</f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>IFERROR(INDEX(Listas!$W$2:$W$7,MATCH(C6,Listas!$V$2:$V$7,0)),"")</f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>IFERROR(INDEX(Listas!$W$2:$W$7,MATCH(C7,Listas!$V$2:$V$7,0)),"")</f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>IFERROR(INDEX(Listas!$W$2:$W$7,MATCH(C8,Listas!$V$2:$V$7,0)),"")</f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>IFERROR(INDEX(Listas!$W$2:$W$7,MATCH(C9,Listas!$V$2:$V$7,0)),"")</f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>IFERROR(INDEX(Listas!$W$2:$W$7,MATCH(C10,Listas!$V$2:$V$7,0)),"")</f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>IFERROR(INDEX(Listas!$W$2:$W$7,MATCH(C11,Listas!$V$2:$V$7,0)),"")</f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>IFERROR(INDEX(Listas!$W$2:$W$7,MATCH(C12,Listas!$V$2:$V$7,0)),"")</f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>IFERROR(INDEX(Listas!$W$2:$W$7,MATCH(C13,Listas!$V$2:$V$7,0)),"")</f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>IFERROR(INDEX(Listas!$W$2:$W$7,MATCH(C14,Listas!$V$2:$V$7,0)),"")</f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>IFERROR(INDEX(Listas!$W$2:$W$7,MATCH(C15,Listas!$V$2:$V$7,0)),"")</f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>IFERROR(INDEX(Listas!$W$2:$W$7,MATCH(C16,Listas!$V$2:$V$7,0)),"")</f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>IFERROR(INDEX(Listas!$W$2:$W$7,MATCH(C17,Listas!$V$2:$V$7,0)),"")</f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>IFERROR(INDEX(Listas!$W$2:$W$7,MATCH(C18,Listas!$V$2:$V$7,0)),"")</f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>IFERROR(INDEX(Listas!$W$2:$W$7,MATCH(C19,Listas!$V$2:$V$7,0)),"")</f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>IFERROR(INDEX(Listas!$W$2:$W$7,MATCH(C20,Listas!$V$2:$V$7,0)),"")</f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>IFERROR(INDEX(Listas!$W$2:$W$7,MATCH(C21,Listas!$V$2:$V$7,0)),"")</f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>IFERROR(INDEX(Listas!$W$2:$W$7,MATCH(C22,Listas!$V$2:$V$7,0)),"")</f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>IFERROR(INDEX(Listas!$W$2:$W$7,MATCH(C23,Listas!$V$2:$V$7,0)),"")</f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>IFERROR(INDEX(Listas!$W$2:$W$7,MATCH(C24,Listas!$V$2:$V$7,0)),"")</f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>IFERROR(INDEX(Listas!$W$2:$W$7,MATCH(C25,Listas!$V$2:$V$7,0)),"")</f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>IFERROR(INDEX(Listas!$W$2:$W$7,MATCH(C26,Listas!$V$2:$V$7,0)),"")</f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>IFERROR(INDEX(Listas!$W$2:$W$7,MATCH(C27,Listas!$V$2:$V$7,0)),"")</f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>IFERROR(INDEX(Listas!$W$2:$W$7,MATCH(C28,Listas!$V$2:$V$7,0)),"")</f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>IFERROR(INDEX(Listas!$W$2:$W$7,MATCH(C29,Listas!$V$2:$V$7,0)),"")</f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>IFERROR(INDEX(Listas!$W$2:$W$7,MATCH(C30,Listas!$V$2:$V$7,0)),"")</f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>IFERROR(INDEX(Listas!$W$2:$W$7,MATCH(C31,Listas!$V$2:$V$7,0)),"")</f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>IFERROR(INDEX(Listas!$W$2:$W$7,MATCH(C32,Listas!$V$2:$V$7,0)),"")</f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>IFERROR(INDEX(Listas!$W$2:$W$7,MATCH(C33,Listas!$V$2:$V$7,0)),"")</f>
        <v/>
      </c>
    </row>
    <row r="34" spans="5:7" x14ac:dyDescent="0.35">
      <c r="E34" t="str">
        <f t="shared" ref="E34:E61" si="2">IF(A34="","",A34)</f>
        <v/>
      </c>
      <c r="F34" t="str">
        <f t="shared" ref="F34:F61" si="3">IF(B34="","",B34)</f>
        <v/>
      </c>
      <c r="G34" t="str">
        <f>IFERROR(INDEX(Listas!$W$2:$W$7,MATCH(C34,Listas!$V$2:$V$7,0)),"")</f>
        <v/>
      </c>
    </row>
    <row r="35" spans="5:7" x14ac:dyDescent="0.35">
      <c r="E35" t="str">
        <f t="shared" si="2"/>
        <v/>
      </c>
      <c r="F35" t="str">
        <f t="shared" si="3"/>
        <v/>
      </c>
      <c r="G35" t="str">
        <f>IFERROR(INDEX(Listas!$W$2:$W$7,MATCH(C35,Listas!$V$2:$V$7,0)),"")</f>
        <v/>
      </c>
    </row>
    <row r="36" spans="5:7" x14ac:dyDescent="0.35">
      <c r="E36" t="str">
        <f t="shared" si="2"/>
        <v/>
      </c>
      <c r="F36" t="str">
        <f t="shared" si="3"/>
        <v/>
      </c>
      <c r="G36" t="str">
        <f>IFERROR(INDEX(Listas!$W$2:$W$7,MATCH(C36,Listas!$V$2:$V$7,0)),"")</f>
        <v/>
      </c>
    </row>
    <row r="37" spans="5:7" x14ac:dyDescent="0.35">
      <c r="E37" t="str">
        <f t="shared" si="2"/>
        <v/>
      </c>
      <c r="F37" t="str">
        <f t="shared" si="3"/>
        <v/>
      </c>
      <c r="G37" t="str">
        <f>IFERROR(INDEX(Listas!$W$2:$W$7,MATCH(C37,Listas!$V$2:$V$7,0)),"")</f>
        <v/>
      </c>
    </row>
    <row r="38" spans="5:7" x14ac:dyDescent="0.35">
      <c r="E38" t="str">
        <f t="shared" si="2"/>
        <v/>
      </c>
      <c r="F38" t="str">
        <f t="shared" si="3"/>
        <v/>
      </c>
      <c r="G38" t="str">
        <f>IFERROR(INDEX(Listas!$W$2:$W$7,MATCH(C38,Listas!$V$2:$V$7,0)),"")</f>
        <v/>
      </c>
    </row>
    <row r="39" spans="5:7" x14ac:dyDescent="0.35">
      <c r="E39" t="str">
        <f t="shared" si="2"/>
        <v/>
      </c>
      <c r="F39" t="str">
        <f t="shared" si="3"/>
        <v/>
      </c>
      <c r="G39" t="str">
        <f>IFERROR(INDEX(Listas!$W$2:$W$7,MATCH(C39,Listas!$V$2:$V$7,0)),"")</f>
        <v/>
      </c>
    </row>
    <row r="40" spans="5:7" x14ac:dyDescent="0.35">
      <c r="E40" t="str">
        <f t="shared" si="2"/>
        <v/>
      </c>
      <c r="F40" t="str">
        <f t="shared" si="3"/>
        <v/>
      </c>
      <c r="G40" t="str">
        <f>IFERROR(INDEX(Listas!$W$2:$W$7,MATCH(C40,Listas!$V$2:$V$7,0)),"")</f>
        <v/>
      </c>
    </row>
    <row r="41" spans="5:7" x14ac:dyDescent="0.35">
      <c r="E41" t="str">
        <f t="shared" si="2"/>
        <v/>
      </c>
      <c r="F41" t="str">
        <f t="shared" si="3"/>
        <v/>
      </c>
      <c r="G41" t="str">
        <f>IFERROR(INDEX(Listas!$W$2:$W$7,MATCH(C41,Listas!$V$2:$V$7,0)),"")</f>
        <v/>
      </c>
    </row>
    <row r="42" spans="5:7" x14ac:dyDescent="0.35">
      <c r="E42" t="str">
        <f t="shared" si="2"/>
        <v/>
      </c>
      <c r="F42" t="str">
        <f t="shared" si="3"/>
        <v/>
      </c>
      <c r="G42" t="str">
        <f>IFERROR(INDEX(Listas!$W$2:$W$7,MATCH(C42,Listas!$V$2:$V$7,0)),"")</f>
        <v/>
      </c>
    </row>
    <row r="43" spans="5:7" x14ac:dyDescent="0.35">
      <c r="E43" t="str">
        <f t="shared" si="2"/>
        <v/>
      </c>
      <c r="F43" t="str">
        <f t="shared" si="3"/>
        <v/>
      </c>
      <c r="G43" t="str">
        <f>IFERROR(INDEX(Listas!$W$2:$W$7,MATCH(C43,Listas!$V$2:$V$7,0)),"")</f>
        <v/>
      </c>
    </row>
    <row r="44" spans="5:7" x14ac:dyDescent="0.35">
      <c r="E44" t="str">
        <f t="shared" si="2"/>
        <v/>
      </c>
      <c r="F44" t="str">
        <f t="shared" si="3"/>
        <v/>
      </c>
      <c r="G44" t="str">
        <f>IFERROR(INDEX(Listas!$W$2:$W$7,MATCH(C44,Listas!$V$2:$V$7,0)),"")</f>
        <v/>
      </c>
    </row>
    <row r="45" spans="5:7" x14ac:dyDescent="0.35">
      <c r="E45" t="str">
        <f t="shared" si="2"/>
        <v/>
      </c>
      <c r="F45" t="str">
        <f t="shared" si="3"/>
        <v/>
      </c>
      <c r="G45" t="str">
        <f>IFERROR(INDEX(Listas!$W$2:$W$7,MATCH(C45,Listas!$V$2:$V$7,0)),"")</f>
        <v/>
      </c>
    </row>
    <row r="46" spans="5:7" x14ac:dyDescent="0.35">
      <c r="E46" t="str">
        <f t="shared" si="2"/>
        <v/>
      </c>
      <c r="F46" t="str">
        <f t="shared" si="3"/>
        <v/>
      </c>
      <c r="G46" t="str">
        <f>IFERROR(INDEX(Listas!$W$2:$W$7,MATCH(C46,Listas!$V$2:$V$7,0)),"")</f>
        <v/>
      </c>
    </row>
    <row r="47" spans="5:7" x14ac:dyDescent="0.35">
      <c r="E47" t="str">
        <f t="shared" si="2"/>
        <v/>
      </c>
      <c r="F47" t="str">
        <f t="shared" si="3"/>
        <v/>
      </c>
      <c r="G47" t="str">
        <f>IFERROR(INDEX(Listas!$W$2:$W$7,MATCH(C47,Listas!$V$2:$V$7,0)),"")</f>
        <v/>
      </c>
    </row>
    <row r="48" spans="5:7" x14ac:dyDescent="0.35">
      <c r="E48" t="str">
        <f t="shared" si="2"/>
        <v/>
      </c>
      <c r="F48" t="str">
        <f t="shared" si="3"/>
        <v/>
      </c>
      <c r="G48" t="str">
        <f>IFERROR(INDEX(Listas!$W$2:$W$7,MATCH(C48,Listas!$V$2:$V$7,0)),"")</f>
        <v/>
      </c>
    </row>
    <row r="49" spans="5:7" x14ac:dyDescent="0.35">
      <c r="E49" t="str">
        <f t="shared" si="2"/>
        <v/>
      </c>
      <c r="F49" t="str">
        <f t="shared" si="3"/>
        <v/>
      </c>
      <c r="G49" t="str">
        <f>IFERROR(INDEX(Listas!$W$2:$W$7,MATCH(C49,Listas!$V$2:$V$7,0)),"")</f>
        <v/>
      </c>
    </row>
    <row r="50" spans="5:7" x14ac:dyDescent="0.35">
      <c r="E50" t="str">
        <f t="shared" si="2"/>
        <v/>
      </c>
      <c r="F50" t="str">
        <f t="shared" si="3"/>
        <v/>
      </c>
      <c r="G50" t="str">
        <f>IFERROR(INDEX(Listas!$W$2:$W$7,MATCH(C50,Listas!$V$2:$V$7,0)),"")</f>
        <v/>
      </c>
    </row>
    <row r="51" spans="5:7" x14ac:dyDescent="0.35">
      <c r="E51" t="str">
        <f t="shared" si="2"/>
        <v/>
      </c>
      <c r="F51" t="str">
        <f t="shared" si="3"/>
        <v/>
      </c>
      <c r="G51" t="str">
        <f>IFERROR(INDEX(Listas!$W$2:$W$7,MATCH(C51,Listas!$V$2:$V$7,0)),"")</f>
        <v/>
      </c>
    </row>
    <row r="52" spans="5:7" x14ac:dyDescent="0.35">
      <c r="E52" t="str">
        <f t="shared" si="2"/>
        <v/>
      </c>
      <c r="F52" t="str">
        <f t="shared" si="3"/>
        <v/>
      </c>
      <c r="G52" t="str">
        <f>IFERROR(INDEX(Listas!$W$2:$W$7,MATCH(C52,Listas!$V$2:$V$7,0)),"")</f>
        <v/>
      </c>
    </row>
    <row r="53" spans="5:7" x14ac:dyDescent="0.35">
      <c r="E53" t="str">
        <f t="shared" si="2"/>
        <v/>
      </c>
      <c r="F53" t="str">
        <f t="shared" si="3"/>
        <v/>
      </c>
      <c r="G53" t="str">
        <f>IFERROR(INDEX(Listas!$W$2:$W$7,MATCH(C53,Listas!$V$2:$V$7,0)),"")</f>
        <v/>
      </c>
    </row>
    <row r="54" spans="5:7" x14ac:dyDescent="0.35">
      <c r="E54" t="str">
        <f t="shared" si="2"/>
        <v/>
      </c>
      <c r="F54" t="str">
        <f t="shared" si="3"/>
        <v/>
      </c>
      <c r="G54" t="str">
        <f>IFERROR(INDEX(Listas!$W$2:$W$7,MATCH(C54,Listas!$V$2:$V$7,0)),"")</f>
        <v/>
      </c>
    </row>
    <row r="55" spans="5:7" x14ac:dyDescent="0.35">
      <c r="E55" t="str">
        <f t="shared" si="2"/>
        <v/>
      </c>
      <c r="F55" t="str">
        <f t="shared" si="3"/>
        <v/>
      </c>
      <c r="G55" t="str">
        <f>IFERROR(INDEX(Listas!$W$2:$W$7,MATCH(C55,Listas!$V$2:$V$7,0)),"")</f>
        <v/>
      </c>
    </row>
    <row r="56" spans="5:7" x14ac:dyDescent="0.35">
      <c r="E56" t="str">
        <f t="shared" si="2"/>
        <v/>
      </c>
      <c r="F56" t="str">
        <f t="shared" si="3"/>
        <v/>
      </c>
      <c r="G56" t="str">
        <f>IFERROR(INDEX(Listas!$W$2:$W$7,MATCH(C56,Listas!$V$2:$V$7,0)),"")</f>
        <v/>
      </c>
    </row>
    <row r="57" spans="5:7" x14ac:dyDescent="0.35">
      <c r="E57" t="str">
        <f t="shared" si="2"/>
        <v/>
      </c>
      <c r="F57" t="str">
        <f t="shared" si="3"/>
        <v/>
      </c>
      <c r="G57" t="str">
        <f>IFERROR(INDEX(Listas!$W$2:$W$7,MATCH(C57,Listas!$V$2:$V$7,0)),"")</f>
        <v/>
      </c>
    </row>
    <row r="58" spans="5:7" x14ac:dyDescent="0.35">
      <c r="E58" t="str">
        <f t="shared" si="2"/>
        <v/>
      </c>
      <c r="F58" t="str">
        <f t="shared" si="3"/>
        <v/>
      </c>
      <c r="G58" t="str">
        <f>IFERROR(INDEX(Listas!$W$2:$W$7,MATCH(C58,Listas!$V$2:$V$7,0)),"")</f>
        <v/>
      </c>
    </row>
    <row r="59" spans="5:7" x14ac:dyDescent="0.35">
      <c r="E59" t="str">
        <f t="shared" si="2"/>
        <v/>
      </c>
      <c r="F59" t="str">
        <f t="shared" si="3"/>
        <v/>
      </c>
      <c r="G59" t="str">
        <f>IFERROR(INDEX(Listas!$W$2:$W$7,MATCH(C59,Listas!$V$2:$V$7,0)),"")</f>
        <v/>
      </c>
    </row>
    <row r="60" spans="5:7" x14ac:dyDescent="0.35">
      <c r="E60" t="str">
        <f t="shared" si="2"/>
        <v/>
      </c>
      <c r="F60" t="str">
        <f t="shared" si="3"/>
        <v/>
      </c>
      <c r="G60" t="str">
        <f>IFERROR(INDEX(Listas!$W$2:$W$7,MATCH(C60,Listas!$V$2:$V$7,0)),"")</f>
        <v/>
      </c>
    </row>
    <row r="61" spans="5:7" x14ac:dyDescent="0.35">
      <c r="E61" t="str">
        <f t="shared" si="2"/>
        <v/>
      </c>
      <c r="F61" t="str">
        <f t="shared" si="3"/>
        <v/>
      </c>
      <c r="G61" t="str">
        <f>IFERROR(INDEX(Listas!$W$2:$W$7,MATCH(C61,Listas!$V$2:$V$7,0)),"")</f>
        <v/>
      </c>
    </row>
  </sheetData>
  <autoFilter ref="A1:C1"/>
  <conditionalFormatting sqref="A3:A61">
    <cfRule type="expression" dxfId="79" priority="2">
      <formula>AND($A3="",COUNTA($A3:$C3)&gt;0)</formula>
    </cfRule>
  </conditionalFormatting>
  <conditionalFormatting sqref="B3:B61">
    <cfRule type="expression" dxfId="78" priority="3">
      <formula>AND($B3="",COUNTA($A3:$C3)&gt;0)</formula>
    </cfRule>
  </conditionalFormatting>
  <conditionalFormatting sqref="C3:C61">
    <cfRule type="expression" dxfId="77" priority="4">
      <formula>AND($C3="",COUNTA($A3:$C3)&gt;0)</formula>
    </cfRule>
  </conditionalFormatting>
  <dataValidations count="2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00 caracteres" sqref="A2:A61">
      <formula1>100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Listas!$V$2:$V$7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 activeCell="C3" sqref="C3"/>
    </sheetView>
  </sheetViews>
  <sheetFormatPr defaultColWidth="8.54296875" defaultRowHeight="14.5" x14ac:dyDescent="0.35"/>
  <cols>
    <col min="1" max="1" width="20" customWidth="1"/>
    <col min="2" max="2" width="16" customWidth="1"/>
    <col min="3" max="3" width="10" customWidth="1"/>
    <col min="5" max="7" width="16" hidden="1" customWidth="1"/>
  </cols>
  <sheetData>
    <row r="1" spans="1:7" ht="31.5" customHeight="1" x14ac:dyDescent="0.35">
      <c r="A1" s="9" t="s">
        <v>31</v>
      </c>
      <c r="B1" s="9" t="s">
        <v>32</v>
      </c>
      <c r="C1" s="9" t="s">
        <v>44</v>
      </c>
      <c r="E1" s="10" t="s">
        <v>34</v>
      </c>
      <c r="F1" s="10" t="s">
        <v>35</v>
      </c>
      <c r="G1" s="10" t="s">
        <v>46</v>
      </c>
    </row>
    <row r="2" spans="1:7" x14ac:dyDescent="0.35">
      <c r="A2" s="11" t="s">
        <v>70</v>
      </c>
      <c r="B2" s="11" t="s">
        <v>71</v>
      </c>
      <c r="C2" s="11" t="s">
        <v>49</v>
      </c>
      <c r="E2" t="str">
        <f t="shared" ref="E2:E33" si="0">IF(A2="","",A2)</f>
        <v>Turma A</v>
      </c>
      <c r="F2" t="str">
        <f t="shared" ref="F2:F33" si="1">IF(B2="","",B2)</f>
        <v>TURMA-001</v>
      </c>
      <c r="G2" t="str">
        <f t="shared" ref="G2:G33" si="2">IF(C2="Sim","true",IF(C2="Não","false",""))</f>
        <v>true</v>
      </c>
    </row>
    <row r="3" spans="1:7" x14ac:dyDescent="0.35">
      <c r="E3" t="str">
        <f t="shared" si="0"/>
        <v/>
      </c>
      <c r="F3" t="str">
        <f t="shared" si="1"/>
        <v/>
      </c>
      <c r="G3" t="str">
        <f t="shared" si="2"/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 t="shared" si="2"/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 t="shared" si="2"/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 t="shared" si="2"/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 t="shared" si="2"/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 t="shared" si="2"/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 t="shared" si="2"/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 t="shared" si="2"/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 t="shared" si="2"/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 t="shared" si="2"/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 t="shared" si="2"/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 t="shared" si="2"/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 t="shared" si="2"/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 t="shared" si="2"/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 t="shared" si="2"/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 t="shared" si="2"/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 t="shared" si="2"/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 t="shared" si="2"/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 t="shared" si="2"/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 t="shared" si="2"/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 t="shared" si="2"/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 t="shared" si="2"/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 t="shared" si="2"/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 t="shared" si="2"/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 t="shared" si="2"/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 t="shared" si="2"/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 t="shared" si="2"/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 t="shared" si="2"/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 t="shared" si="2"/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 t="shared" si="2"/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 t="shared" si="2"/>
        <v/>
      </c>
    </row>
    <row r="34" spans="5:7" x14ac:dyDescent="0.35">
      <c r="E34" t="str">
        <f t="shared" ref="E34:E61" si="3">IF(A34="","",A34)</f>
        <v/>
      </c>
      <c r="F34" t="str">
        <f t="shared" ref="F34:F61" si="4">IF(B34="","",B34)</f>
        <v/>
      </c>
      <c r="G34" t="str">
        <f t="shared" ref="G34:G61" si="5">IF(C34="Sim","true",IF(C34="Não","false",""))</f>
        <v/>
      </c>
    </row>
    <row r="35" spans="5:7" x14ac:dyDescent="0.35">
      <c r="E35" t="str">
        <f t="shared" si="3"/>
        <v/>
      </c>
      <c r="F35" t="str">
        <f t="shared" si="4"/>
        <v/>
      </c>
      <c r="G35" t="str">
        <f t="shared" si="5"/>
        <v/>
      </c>
    </row>
    <row r="36" spans="5:7" x14ac:dyDescent="0.35">
      <c r="E36" t="str">
        <f t="shared" si="3"/>
        <v/>
      </c>
      <c r="F36" t="str">
        <f t="shared" si="4"/>
        <v/>
      </c>
      <c r="G36" t="str">
        <f t="shared" si="5"/>
        <v/>
      </c>
    </row>
    <row r="37" spans="5:7" x14ac:dyDescent="0.35">
      <c r="E37" t="str">
        <f t="shared" si="3"/>
        <v/>
      </c>
      <c r="F37" t="str">
        <f t="shared" si="4"/>
        <v/>
      </c>
      <c r="G37" t="str">
        <f t="shared" si="5"/>
        <v/>
      </c>
    </row>
    <row r="38" spans="5:7" x14ac:dyDescent="0.35">
      <c r="E38" t="str">
        <f t="shared" si="3"/>
        <v/>
      </c>
      <c r="F38" t="str">
        <f t="shared" si="4"/>
        <v/>
      </c>
      <c r="G38" t="str">
        <f t="shared" si="5"/>
        <v/>
      </c>
    </row>
    <row r="39" spans="5:7" x14ac:dyDescent="0.35">
      <c r="E39" t="str">
        <f t="shared" si="3"/>
        <v/>
      </c>
      <c r="F39" t="str">
        <f t="shared" si="4"/>
        <v/>
      </c>
      <c r="G39" t="str">
        <f t="shared" si="5"/>
        <v/>
      </c>
    </row>
    <row r="40" spans="5:7" x14ac:dyDescent="0.35">
      <c r="E40" t="str">
        <f t="shared" si="3"/>
        <v/>
      </c>
      <c r="F40" t="str">
        <f t="shared" si="4"/>
        <v/>
      </c>
      <c r="G40" t="str">
        <f t="shared" si="5"/>
        <v/>
      </c>
    </row>
    <row r="41" spans="5:7" x14ac:dyDescent="0.35">
      <c r="E41" t="str">
        <f t="shared" si="3"/>
        <v/>
      </c>
      <c r="F41" t="str">
        <f t="shared" si="4"/>
        <v/>
      </c>
      <c r="G41" t="str">
        <f t="shared" si="5"/>
        <v/>
      </c>
    </row>
    <row r="42" spans="5:7" x14ac:dyDescent="0.35">
      <c r="E42" t="str">
        <f t="shared" si="3"/>
        <v/>
      </c>
      <c r="F42" t="str">
        <f t="shared" si="4"/>
        <v/>
      </c>
      <c r="G42" t="str">
        <f t="shared" si="5"/>
        <v/>
      </c>
    </row>
    <row r="43" spans="5:7" x14ac:dyDescent="0.35">
      <c r="E43" t="str">
        <f t="shared" si="3"/>
        <v/>
      </c>
      <c r="F43" t="str">
        <f t="shared" si="4"/>
        <v/>
      </c>
      <c r="G43" t="str">
        <f t="shared" si="5"/>
        <v/>
      </c>
    </row>
    <row r="44" spans="5:7" x14ac:dyDescent="0.35">
      <c r="E44" t="str">
        <f t="shared" si="3"/>
        <v/>
      </c>
      <c r="F44" t="str">
        <f t="shared" si="4"/>
        <v/>
      </c>
      <c r="G44" t="str">
        <f t="shared" si="5"/>
        <v/>
      </c>
    </row>
    <row r="45" spans="5:7" x14ac:dyDescent="0.35">
      <c r="E45" t="str">
        <f t="shared" si="3"/>
        <v/>
      </c>
      <c r="F45" t="str">
        <f t="shared" si="4"/>
        <v/>
      </c>
      <c r="G45" t="str">
        <f t="shared" si="5"/>
        <v/>
      </c>
    </row>
    <row r="46" spans="5:7" x14ac:dyDescent="0.35">
      <c r="E46" t="str">
        <f t="shared" si="3"/>
        <v/>
      </c>
      <c r="F46" t="str">
        <f t="shared" si="4"/>
        <v/>
      </c>
      <c r="G46" t="str">
        <f t="shared" si="5"/>
        <v/>
      </c>
    </row>
    <row r="47" spans="5:7" x14ac:dyDescent="0.35">
      <c r="E47" t="str">
        <f t="shared" si="3"/>
        <v/>
      </c>
      <c r="F47" t="str">
        <f t="shared" si="4"/>
        <v/>
      </c>
      <c r="G47" t="str">
        <f t="shared" si="5"/>
        <v/>
      </c>
    </row>
    <row r="48" spans="5:7" x14ac:dyDescent="0.35">
      <c r="E48" t="str">
        <f t="shared" si="3"/>
        <v/>
      </c>
      <c r="F48" t="str">
        <f t="shared" si="4"/>
        <v/>
      </c>
      <c r="G48" t="str">
        <f t="shared" si="5"/>
        <v/>
      </c>
    </row>
    <row r="49" spans="5:7" x14ac:dyDescent="0.35">
      <c r="E49" t="str">
        <f t="shared" si="3"/>
        <v/>
      </c>
      <c r="F49" t="str">
        <f t="shared" si="4"/>
        <v/>
      </c>
      <c r="G49" t="str">
        <f t="shared" si="5"/>
        <v/>
      </c>
    </row>
    <row r="50" spans="5:7" x14ac:dyDescent="0.35">
      <c r="E50" t="str">
        <f t="shared" si="3"/>
        <v/>
      </c>
      <c r="F50" t="str">
        <f t="shared" si="4"/>
        <v/>
      </c>
      <c r="G50" t="str">
        <f t="shared" si="5"/>
        <v/>
      </c>
    </row>
    <row r="51" spans="5:7" x14ac:dyDescent="0.35">
      <c r="E51" t="str">
        <f t="shared" si="3"/>
        <v/>
      </c>
      <c r="F51" t="str">
        <f t="shared" si="4"/>
        <v/>
      </c>
      <c r="G51" t="str">
        <f t="shared" si="5"/>
        <v/>
      </c>
    </row>
    <row r="52" spans="5:7" x14ac:dyDescent="0.35">
      <c r="E52" t="str">
        <f t="shared" si="3"/>
        <v/>
      </c>
      <c r="F52" t="str">
        <f t="shared" si="4"/>
        <v/>
      </c>
      <c r="G52" t="str">
        <f t="shared" si="5"/>
        <v/>
      </c>
    </row>
    <row r="53" spans="5:7" x14ac:dyDescent="0.35">
      <c r="E53" t="str">
        <f t="shared" si="3"/>
        <v/>
      </c>
      <c r="F53" t="str">
        <f t="shared" si="4"/>
        <v/>
      </c>
      <c r="G53" t="str">
        <f t="shared" si="5"/>
        <v/>
      </c>
    </row>
    <row r="54" spans="5:7" x14ac:dyDescent="0.35">
      <c r="E54" t="str">
        <f t="shared" si="3"/>
        <v/>
      </c>
      <c r="F54" t="str">
        <f t="shared" si="4"/>
        <v/>
      </c>
      <c r="G54" t="str">
        <f t="shared" si="5"/>
        <v/>
      </c>
    </row>
    <row r="55" spans="5:7" x14ac:dyDescent="0.35">
      <c r="E55" t="str">
        <f t="shared" si="3"/>
        <v/>
      </c>
      <c r="F55" t="str">
        <f t="shared" si="4"/>
        <v/>
      </c>
      <c r="G55" t="str">
        <f t="shared" si="5"/>
        <v/>
      </c>
    </row>
    <row r="56" spans="5:7" x14ac:dyDescent="0.35">
      <c r="E56" t="str">
        <f t="shared" si="3"/>
        <v/>
      </c>
      <c r="F56" t="str">
        <f t="shared" si="4"/>
        <v/>
      </c>
      <c r="G56" t="str">
        <f t="shared" si="5"/>
        <v/>
      </c>
    </row>
    <row r="57" spans="5:7" x14ac:dyDescent="0.35">
      <c r="E57" t="str">
        <f t="shared" si="3"/>
        <v/>
      </c>
      <c r="F57" t="str">
        <f t="shared" si="4"/>
        <v/>
      </c>
      <c r="G57" t="str">
        <f t="shared" si="5"/>
        <v/>
      </c>
    </row>
    <row r="58" spans="5:7" x14ac:dyDescent="0.35">
      <c r="E58" t="str">
        <f t="shared" si="3"/>
        <v/>
      </c>
      <c r="F58" t="str">
        <f t="shared" si="4"/>
        <v/>
      </c>
      <c r="G58" t="str">
        <f t="shared" si="5"/>
        <v/>
      </c>
    </row>
    <row r="59" spans="5:7" x14ac:dyDescent="0.35">
      <c r="E59" t="str">
        <f t="shared" si="3"/>
        <v/>
      </c>
      <c r="F59" t="str">
        <f t="shared" si="4"/>
        <v/>
      </c>
      <c r="G59" t="str">
        <f t="shared" si="5"/>
        <v/>
      </c>
    </row>
    <row r="60" spans="5:7" x14ac:dyDescent="0.35">
      <c r="E60" t="str">
        <f t="shared" si="3"/>
        <v/>
      </c>
      <c r="F60" t="str">
        <f t="shared" si="4"/>
        <v/>
      </c>
      <c r="G60" t="str">
        <f t="shared" si="5"/>
        <v/>
      </c>
    </row>
    <row r="61" spans="5:7" x14ac:dyDescent="0.35">
      <c r="E61" t="str">
        <f t="shared" si="3"/>
        <v/>
      </c>
      <c r="F61" t="str">
        <f t="shared" si="4"/>
        <v/>
      </c>
      <c r="G61" t="str">
        <f t="shared" si="5"/>
        <v/>
      </c>
    </row>
  </sheetData>
  <autoFilter ref="A1:C1"/>
  <conditionalFormatting sqref="A3:A61">
    <cfRule type="expression" dxfId="76" priority="2">
      <formula>AND($A3="",COUNTA($A3:$C3)&gt;0)</formula>
    </cfRule>
  </conditionalFormatting>
  <conditionalFormatting sqref="B3:B61">
    <cfRule type="expression" dxfId="75" priority="3">
      <formula>AND($B3="",COUNTA($A3:$C3)&gt;0)</formula>
    </cfRule>
  </conditionalFormatting>
  <conditionalFormatting sqref="C3:C61">
    <cfRule type="expression" dxfId="74" priority="4">
      <formula>AND($C3="",COUNTA($A3:$C3)&gt;0)</formula>
    </cfRule>
  </conditionalFormatting>
  <dataValidations count="3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00 caracteres" sqref="A2:A61">
      <formula1>100</formula1>
      <formula2>0</formula2>
    </dataValidation>
    <dataValidation type="list" allowBlank="1" sqref="C2:C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AK61"/>
  <sheetViews>
    <sheetView zoomScaleNormal="100" workbookViewId="0">
      <pane ySplit="1" topLeftCell="A2" activePane="bottomLeft" state="frozen"/>
      <selection pane="bottomLeft" activeCell="C3" sqref="C3"/>
    </sheetView>
  </sheetViews>
  <sheetFormatPr defaultColWidth="8.54296875" defaultRowHeight="14.5" x14ac:dyDescent="0.35"/>
  <cols>
    <col min="1" max="1" width="26" customWidth="1"/>
    <col min="2" max="2" width="22" customWidth="1"/>
    <col min="3" max="3" width="18" customWidth="1"/>
    <col min="4" max="5" width="16" customWidth="1"/>
    <col min="6" max="6" width="14" customWidth="1"/>
    <col min="7" max="7" width="12" customWidth="1"/>
    <col min="8" max="8" width="10" customWidth="1"/>
    <col min="9" max="9" width="18" customWidth="1"/>
    <col min="10" max="10" width="22" customWidth="1"/>
    <col min="11" max="11" width="10" customWidth="1"/>
    <col min="12" max="13" width="16" customWidth="1"/>
    <col min="14" max="14" width="24" customWidth="1"/>
    <col min="15" max="16" width="16" customWidth="1"/>
    <col min="17" max="17" width="20" customWidth="1"/>
    <col min="18" max="18" width="10" customWidth="1"/>
    <col min="20" max="37" width="16" hidden="1" customWidth="1"/>
  </cols>
  <sheetData>
    <row r="1" spans="1:37" ht="31.5" customHeight="1" x14ac:dyDescent="0.35">
      <c r="A1" s="9" t="s">
        <v>72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32</v>
      </c>
      <c r="G1" s="9" t="s">
        <v>77</v>
      </c>
      <c r="H1" s="9" t="s">
        <v>78</v>
      </c>
      <c r="I1" s="9" t="s">
        <v>79</v>
      </c>
      <c r="J1" s="9" t="s">
        <v>80</v>
      </c>
      <c r="K1" s="9" t="s">
        <v>81</v>
      </c>
      <c r="L1" s="9" t="s">
        <v>82</v>
      </c>
      <c r="M1" s="9" t="s">
        <v>83</v>
      </c>
      <c r="N1" s="9" t="s">
        <v>84</v>
      </c>
      <c r="O1" s="9" t="s">
        <v>85</v>
      </c>
      <c r="P1" s="9" t="s">
        <v>86</v>
      </c>
      <c r="Q1" s="9" t="s">
        <v>87</v>
      </c>
      <c r="R1" s="9" t="s">
        <v>88</v>
      </c>
      <c r="T1" s="10" t="s">
        <v>34</v>
      </c>
      <c r="U1" s="10" t="s">
        <v>89</v>
      </c>
      <c r="V1" s="10" t="s">
        <v>90</v>
      </c>
      <c r="W1" s="10" t="s">
        <v>91</v>
      </c>
      <c r="X1" s="10" t="s">
        <v>92</v>
      </c>
      <c r="Y1" s="10" t="s">
        <v>35</v>
      </c>
      <c r="Z1" s="10" t="s">
        <v>93</v>
      </c>
      <c r="AA1" s="10" t="s">
        <v>94</v>
      </c>
      <c r="AB1" s="10" t="s">
        <v>95</v>
      </c>
      <c r="AC1" s="10" t="s">
        <v>96</v>
      </c>
      <c r="AD1" s="10" t="s">
        <v>97</v>
      </c>
      <c r="AE1" s="10" t="s">
        <v>98</v>
      </c>
      <c r="AF1" s="10" t="s">
        <v>99</v>
      </c>
      <c r="AG1" s="10" t="s">
        <v>100</v>
      </c>
      <c r="AH1" s="10" t="s">
        <v>101</v>
      </c>
      <c r="AI1" s="10" t="s">
        <v>102</v>
      </c>
      <c r="AJ1" s="10" t="s">
        <v>103</v>
      </c>
      <c r="AK1" s="10" t="s">
        <v>46</v>
      </c>
    </row>
    <row r="2" spans="1:37" x14ac:dyDescent="0.35">
      <c r="A2" s="11" t="s">
        <v>104</v>
      </c>
      <c r="B2" s="11"/>
      <c r="C2" s="11" t="s">
        <v>105</v>
      </c>
      <c r="D2" s="11" t="s">
        <v>106</v>
      </c>
      <c r="E2" s="11"/>
      <c r="F2" s="11" t="s">
        <v>107</v>
      </c>
      <c r="G2" s="11" t="s">
        <v>108</v>
      </c>
      <c r="H2" s="11" t="s">
        <v>109</v>
      </c>
      <c r="I2" s="11" t="s">
        <v>110</v>
      </c>
      <c r="J2" s="11" t="s">
        <v>111</v>
      </c>
      <c r="K2" s="11" t="s">
        <v>112</v>
      </c>
      <c r="L2" s="11" t="s">
        <v>113</v>
      </c>
      <c r="M2" s="11"/>
      <c r="N2" s="11" t="s">
        <v>114</v>
      </c>
      <c r="O2" s="11" t="s">
        <v>115</v>
      </c>
      <c r="P2" s="11" t="s">
        <v>116</v>
      </c>
      <c r="Q2" s="11" t="s">
        <v>117</v>
      </c>
      <c r="R2" s="11" t="s">
        <v>49</v>
      </c>
      <c r="T2" t="str">
        <f t="shared" ref="T2:T33" si="0">IF(A2="","",A2)</f>
        <v>João da Silva</v>
      </c>
      <c r="U2" t="str">
        <f t="shared" ref="U2:U33" si="1">IF(B2="","",B2)</f>
        <v/>
      </c>
      <c r="V2" t="str">
        <f t="shared" ref="V2:V33" si="2">IF(C2="","",C2)</f>
        <v>12345678900</v>
      </c>
      <c r="W2" t="str">
        <f>IFERROR(INDEX(Listas!$AC$2:$AC$4,MATCH(D2,Listas!$AB$2:$AB$4,0)),"")</f>
        <v>CPF</v>
      </c>
      <c r="X2" t="str">
        <f t="shared" ref="X2:X33" si="3">IF(E2="","",E2)</f>
        <v/>
      </c>
      <c r="Y2" t="str">
        <f t="shared" ref="Y2:Y33" si="4">IF(F2="","",F2)</f>
        <v>PES-001</v>
      </c>
      <c r="Z2" t="str">
        <f t="shared" ref="Z2:Z33" si="5">IF(G2="","",G2)</f>
        <v>26000000</v>
      </c>
      <c r="AA2" t="str">
        <f t="shared" ref="AA2:AA33" si="6">IF(H2="","",H2)</f>
        <v>RJ</v>
      </c>
      <c r="AB2" t="str">
        <f t="shared" ref="AB2:AB33" si="7">IF(I2="","",I2)</f>
        <v>Nova Iguaçu</v>
      </c>
      <c r="AC2" t="str">
        <f t="shared" ref="AC2:AC33" si="8">IF(J2="","",J2)</f>
        <v>Rua Exemplo</v>
      </c>
      <c r="AD2" t="str">
        <f t="shared" ref="AD2:AD33" si="9">IF(K2="","",K2)</f>
        <v>100</v>
      </c>
      <c r="AE2" t="str">
        <f t="shared" ref="AE2:AE33" si="10">IF(L2="","",L2)</f>
        <v>Centro</v>
      </c>
      <c r="AF2" t="str">
        <f t="shared" ref="AF2:AF33" si="11">IF(M2="","",M2)</f>
        <v/>
      </c>
      <c r="AG2" t="str">
        <f t="shared" ref="AG2:AG33" si="12">IF(N2="","",N2)</f>
        <v>joao@email.com</v>
      </c>
      <c r="AH2" t="str">
        <f t="shared" ref="AH2:AH33" si="13">IF(O2="","",O2)</f>
        <v>joao.silva</v>
      </c>
      <c r="AI2" t="str">
        <f t="shared" ref="AI2:AI33" si="14">IF(P2="","",P2)</f>
        <v>Senha@123</v>
      </c>
      <c r="AJ2" t="str">
        <f t="shared" ref="AJ2:AJ33" si="15">IF(Q2="","",Q2)</f>
        <v>aluno,graduacao</v>
      </c>
      <c r="AK2" t="str">
        <f t="shared" ref="AK2:AK33" si="16">IF(R2="Sim","true",IF(R2="Não","false",""))</f>
        <v>true</v>
      </c>
    </row>
    <row r="3" spans="1:37" x14ac:dyDescent="0.35">
      <c r="T3" t="str">
        <f t="shared" si="0"/>
        <v/>
      </c>
      <c r="U3" t="str">
        <f t="shared" si="1"/>
        <v/>
      </c>
      <c r="V3" t="str">
        <f t="shared" si="2"/>
        <v/>
      </c>
      <c r="W3" t="str">
        <f>IFERROR(INDEX(Listas!$AC$2:$AC$4,MATCH(D3,Listas!$AB$2:$AB$4,0)),"")</f>
        <v/>
      </c>
      <c r="X3" t="str">
        <f t="shared" si="3"/>
        <v/>
      </c>
      <c r="Y3" t="str">
        <f t="shared" si="4"/>
        <v/>
      </c>
      <c r="Z3" t="str">
        <f t="shared" si="5"/>
        <v/>
      </c>
      <c r="AA3" t="str">
        <f t="shared" si="6"/>
        <v/>
      </c>
      <c r="AB3" t="str">
        <f t="shared" si="7"/>
        <v/>
      </c>
      <c r="AC3" t="str">
        <f t="shared" si="8"/>
        <v/>
      </c>
      <c r="AD3" t="str">
        <f t="shared" si="9"/>
        <v/>
      </c>
      <c r="AE3" t="str">
        <f t="shared" si="10"/>
        <v/>
      </c>
      <c r="AF3" t="str">
        <f t="shared" si="11"/>
        <v/>
      </c>
      <c r="AG3" t="str">
        <f t="shared" si="12"/>
        <v/>
      </c>
      <c r="AH3" t="str">
        <f t="shared" si="13"/>
        <v/>
      </c>
      <c r="AI3" t="str">
        <f t="shared" si="14"/>
        <v/>
      </c>
      <c r="AJ3" t="str">
        <f t="shared" si="15"/>
        <v/>
      </c>
      <c r="AK3" t="str">
        <f t="shared" si="16"/>
        <v/>
      </c>
    </row>
    <row r="4" spans="1:37" x14ac:dyDescent="0.35">
      <c r="T4" t="str">
        <f t="shared" si="0"/>
        <v/>
      </c>
      <c r="U4" t="str">
        <f t="shared" si="1"/>
        <v/>
      </c>
      <c r="V4" t="str">
        <f t="shared" si="2"/>
        <v/>
      </c>
      <c r="W4" t="str">
        <f>IFERROR(INDEX(Listas!$AC$2:$AC$4,MATCH(D4,Listas!$AB$2:$AB$4,0)),"")</f>
        <v/>
      </c>
      <c r="X4" t="str">
        <f t="shared" si="3"/>
        <v/>
      </c>
      <c r="Y4" t="str">
        <f t="shared" si="4"/>
        <v/>
      </c>
      <c r="Z4" t="str">
        <f t="shared" si="5"/>
        <v/>
      </c>
      <c r="AA4" t="str">
        <f t="shared" si="6"/>
        <v/>
      </c>
      <c r="AB4" t="str">
        <f t="shared" si="7"/>
        <v/>
      </c>
      <c r="AC4" t="str">
        <f t="shared" si="8"/>
        <v/>
      </c>
      <c r="AD4" t="str">
        <f t="shared" si="9"/>
        <v/>
      </c>
      <c r="AE4" t="str">
        <f t="shared" si="10"/>
        <v/>
      </c>
      <c r="AF4" t="str">
        <f t="shared" si="11"/>
        <v/>
      </c>
      <c r="AG4" t="str">
        <f t="shared" si="12"/>
        <v/>
      </c>
      <c r="AH4" t="str">
        <f t="shared" si="13"/>
        <v/>
      </c>
      <c r="AI4" t="str">
        <f t="shared" si="14"/>
        <v/>
      </c>
      <c r="AJ4" t="str">
        <f t="shared" si="15"/>
        <v/>
      </c>
      <c r="AK4" t="str">
        <f t="shared" si="16"/>
        <v/>
      </c>
    </row>
    <row r="5" spans="1:37" x14ac:dyDescent="0.35">
      <c r="T5" t="str">
        <f t="shared" si="0"/>
        <v/>
      </c>
      <c r="U5" t="str">
        <f t="shared" si="1"/>
        <v/>
      </c>
      <c r="V5" t="str">
        <f t="shared" si="2"/>
        <v/>
      </c>
      <c r="W5" t="str">
        <f>IFERROR(INDEX(Listas!$AC$2:$AC$4,MATCH(D5,Listas!$AB$2:$AB$4,0)),"")</f>
        <v/>
      </c>
      <c r="X5" t="str">
        <f t="shared" si="3"/>
        <v/>
      </c>
      <c r="Y5" t="str">
        <f t="shared" si="4"/>
        <v/>
      </c>
      <c r="Z5" t="str">
        <f t="shared" si="5"/>
        <v/>
      </c>
      <c r="AA5" t="str">
        <f t="shared" si="6"/>
        <v/>
      </c>
      <c r="AB5" t="str">
        <f t="shared" si="7"/>
        <v/>
      </c>
      <c r="AC5" t="str">
        <f t="shared" si="8"/>
        <v/>
      </c>
      <c r="AD5" t="str">
        <f t="shared" si="9"/>
        <v/>
      </c>
      <c r="AE5" t="str">
        <f t="shared" si="10"/>
        <v/>
      </c>
      <c r="AF5" t="str">
        <f t="shared" si="11"/>
        <v/>
      </c>
      <c r="AG5" t="str">
        <f t="shared" si="12"/>
        <v/>
      </c>
      <c r="AH5" t="str">
        <f t="shared" si="13"/>
        <v/>
      </c>
      <c r="AI5" t="str">
        <f t="shared" si="14"/>
        <v/>
      </c>
      <c r="AJ5" t="str">
        <f t="shared" si="15"/>
        <v/>
      </c>
      <c r="AK5" t="str">
        <f t="shared" si="16"/>
        <v/>
      </c>
    </row>
    <row r="6" spans="1:37" x14ac:dyDescent="0.35">
      <c r="T6" t="str">
        <f t="shared" si="0"/>
        <v/>
      </c>
      <c r="U6" t="str">
        <f t="shared" si="1"/>
        <v/>
      </c>
      <c r="V6" t="str">
        <f t="shared" si="2"/>
        <v/>
      </c>
      <c r="W6" t="str">
        <f>IFERROR(INDEX(Listas!$AC$2:$AC$4,MATCH(D6,Listas!$AB$2:$AB$4,0)),"")</f>
        <v/>
      </c>
      <c r="X6" t="str">
        <f t="shared" si="3"/>
        <v/>
      </c>
      <c r="Y6" t="str">
        <f t="shared" si="4"/>
        <v/>
      </c>
      <c r="Z6" t="str">
        <f t="shared" si="5"/>
        <v/>
      </c>
      <c r="AA6" t="str">
        <f t="shared" si="6"/>
        <v/>
      </c>
      <c r="AB6" t="str">
        <f t="shared" si="7"/>
        <v/>
      </c>
      <c r="AC6" t="str">
        <f t="shared" si="8"/>
        <v/>
      </c>
      <c r="AD6" t="str">
        <f t="shared" si="9"/>
        <v/>
      </c>
      <c r="AE6" t="str">
        <f t="shared" si="10"/>
        <v/>
      </c>
      <c r="AF6" t="str">
        <f t="shared" si="11"/>
        <v/>
      </c>
      <c r="AG6" t="str">
        <f t="shared" si="12"/>
        <v/>
      </c>
      <c r="AH6" t="str">
        <f t="shared" si="13"/>
        <v/>
      </c>
      <c r="AI6" t="str">
        <f t="shared" si="14"/>
        <v/>
      </c>
      <c r="AJ6" t="str">
        <f t="shared" si="15"/>
        <v/>
      </c>
      <c r="AK6" t="str">
        <f t="shared" si="16"/>
        <v/>
      </c>
    </row>
    <row r="7" spans="1:37" x14ac:dyDescent="0.35">
      <c r="T7" t="str">
        <f t="shared" si="0"/>
        <v/>
      </c>
      <c r="U7" t="str">
        <f t="shared" si="1"/>
        <v/>
      </c>
      <c r="V7" t="str">
        <f t="shared" si="2"/>
        <v/>
      </c>
      <c r="W7" t="str">
        <f>IFERROR(INDEX(Listas!$AC$2:$AC$4,MATCH(D7,Listas!$AB$2:$AB$4,0)),"")</f>
        <v/>
      </c>
      <c r="X7" t="str">
        <f t="shared" si="3"/>
        <v/>
      </c>
      <c r="Y7" t="str">
        <f t="shared" si="4"/>
        <v/>
      </c>
      <c r="Z7" t="str">
        <f t="shared" si="5"/>
        <v/>
      </c>
      <c r="AA7" t="str">
        <f t="shared" si="6"/>
        <v/>
      </c>
      <c r="AB7" t="str">
        <f t="shared" si="7"/>
        <v/>
      </c>
      <c r="AC7" t="str">
        <f t="shared" si="8"/>
        <v/>
      </c>
      <c r="AD7" t="str">
        <f t="shared" si="9"/>
        <v/>
      </c>
      <c r="AE7" t="str">
        <f t="shared" si="10"/>
        <v/>
      </c>
      <c r="AF7" t="str">
        <f t="shared" si="11"/>
        <v/>
      </c>
      <c r="AG7" t="str">
        <f t="shared" si="12"/>
        <v/>
      </c>
      <c r="AH7" t="str">
        <f t="shared" si="13"/>
        <v/>
      </c>
      <c r="AI7" t="str">
        <f t="shared" si="14"/>
        <v/>
      </c>
      <c r="AJ7" t="str">
        <f t="shared" si="15"/>
        <v/>
      </c>
      <c r="AK7" t="str">
        <f t="shared" si="16"/>
        <v/>
      </c>
    </row>
    <row r="8" spans="1:37" x14ac:dyDescent="0.35">
      <c r="T8" t="str">
        <f t="shared" si="0"/>
        <v/>
      </c>
      <c r="U8" t="str">
        <f t="shared" si="1"/>
        <v/>
      </c>
      <c r="V8" t="str">
        <f t="shared" si="2"/>
        <v/>
      </c>
      <c r="W8" t="str">
        <f>IFERROR(INDEX(Listas!$AC$2:$AC$4,MATCH(D8,Listas!$AB$2:$AB$4,0)),"")</f>
        <v/>
      </c>
      <c r="X8" t="str">
        <f t="shared" si="3"/>
        <v/>
      </c>
      <c r="Y8" t="str">
        <f t="shared" si="4"/>
        <v/>
      </c>
      <c r="Z8" t="str">
        <f t="shared" si="5"/>
        <v/>
      </c>
      <c r="AA8" t="str">
        <f t="shared" si="6"/>
        <v/>
      </c>
      <c r="AB8" t="str">
        <f t="shared" si="7"/>
        <v/>
      </c>
      <c r="AC8" t="str">
        <f t="shared" si="8"/>
        <v/>
      </c>
      <c r="AD8" t="str">
        <f t="shared" si="9"/>
        <v/>
      </c>
      <c r="AE8" t="str">
        <f t="shared" si="10"/>
        <v/>
      </c>
      <c r="AF8" t="str">
        <f t="shared" si="11"/>
        <v/>
      </c>
      <c r="AG8" t="str">
        <f t="shared" si="12"/>
        <v/>
      </c>
      <c r="AH8" t="str">
        <f t="shared" si="13"/>
        <v/>
      </c>
      <c r="AI8" t="str">
        <f t="shared" si="14"/>
        <v/>
      </c>
      <c r="AJ8" t="str">
        <f t="shared" si="15"/>
        <v/>
      </c>
      <c r="AK8" t="str">
        <f t="shared" si="16"/>
        <v/>
      </c>
    </row>
    <row r="9" spans="1:37" x14ac:dyDescent="0.35">
      <c r="T9" t="str">
        <f t="shared" si="0"/>
        <v/>
      </c>
      <c r="U9" t="str">
        <f t="shared" si="1"/>
        <v/>
      </c>
      <c r="V9" t="str">
        <f t="shared" si="2"/>
        <v/>
      </c>
      <c r="W9" t="str">
        <f>IFERROR(INDEX(Listas!$AC$2:$AC$4,MATCH(D9,Listas!$AB$2:$AB$4,0)),"")</f>
        <v/>
      </c>
      <c r="X9" t="str">
        <f t="shared" si="3"/>
        <v/>
      </c>
      <c r="Y9" t="str">
        <f t="shared" si="4"/>
        <v/>
      </c>
      <c r="Z9" t="str">
        <f t="shared" si="5"/>
        <v/>
      </c>
      <c r="AA9" t="str">
        <f t="shared" si="6"/>
        <v/>
      </c>
      <c r="AB9" t="str">
        <f t="shared" si="7"/>
        <v/>
      </c>
      <c r="AC9" t="str">
        <f t="shared" si="8"/>
        <v/>
      </c>
      <c r="AD9" t="str">
        <f t="shared" si="9"/>
        <v/>
      </c>
      <c r="AE9" t="str">
        <f t="shared" si="10"/>
        <v/>
      </c>
      <c r="AF9" t="str">
        <f t="shared" si="11"/>
        <v/>
      </c>
      <c r="AG9" t="str">
        <f t="shared" si="12"/>
        <v/>
      </c>
      <c r="AH9" t="str">
        <f t="shared" si="13"/>
        <v/>
      </c>
      <c r="AI9" t="str">
        <f t="shared" si="14"/>
        <v/>
      </c>
      <c r="AJ9" t="str">
        <f t="shared" si="15"/>
        <v/>
      </c>
      <c r="AK9" t="str">
        <f t="shared" si="16"/>
        <v/>
      </c>
    </row>
    <row r="10" spans="1:37" x14ac:dyDescent="0.35">
      <c r="T10" t="str">
        <f t="shared" si="0"/>
        <v/>
      </c>
      <c r="U10" t="str">
        <f t="shared" si="1"/>
        <v/>
      </c>
      <c r="V10" t="str">
        <f t="shared" si="2"/>
        <v/>
      </c>
      <c r="W10" t="str">
        <f>IFERROR(INDEX(Listas!$AC$2:$AC$4,MATCH(D10,Listas!$AB$2:$AB$4,0)),"")</f>
        <v/>
      </c>
      <c r="X10" t="str">
        <f t="shared" si="3"/>
        <v/>
      </c>
      <c r="Y10" t="str">
        <f t="shared" si="4"/>
        <v/>
      </c>
      <c r="Z10" t="str">
        <f t="shared" si="5"/>
        <v/>
      </c>
      <c r="AA10" t="str">
        <f t="shared" si="6"/>
        <v/>
      </c>
      <c r="AB10" t="str">
        <f t="shared" si="7"/>
        <v/>
      </c>
      <c r="AC10" t="str">
        <f t="shared" si="8"/>
        <v/>
      </c>
      <c r="AD10" t="str">
        <f t="shared" si="9"/>
        <v/>
      </c>
      <c r="AE10" t="str">
        <f t="shared" si="10"/>
        <v/>
      </c>
      <c r="AF10" t="str">
        <f t="shared" si="11"/>
        <v/>
      </c>
      <c r="AG10" t="str">
        <f t="shared" si="12"/>
        <v/>
      </c>
      <c r="AH10" t="str">
        <f t="shared" si="13"/>
        <v/>
      </c>
      <c r="AI10" t="str">
        <f t="shared" si="14"/>
        <v/>
      </c>
      <c r="AJ10" t="str">
        <f t="shared" si="15"/>
        <v/>
      </c>
      <c r="AK10" t="str">
        <f t="shared" si="16"/>
        <v/>
      </c>
    </row>
    <row r="11" spans="1:37" x14ac:dyDescent="0.35">
      <c r="T11" t="str">
        <f t="shared" si="0"/>
        <v/>
      </c>
      <c r="U11" t="str">
        <f t="shared" si="1"/>
        <v/>
      </c>
      <c r="V11" t="str">
        <f t="shared" si="2"/>
        <v/>
      </c>
      <c r="W11" t="str">
        <f>IFERROR(INDEX(Listas!$AC$2:$AC$4,MATCH(D11,Listas!$AB$2:$AB$4,0)),"")</f>
        <v/>
      </c>
      <c r="X11" t="str">
        <f t="shared" si="3"/>
        <v/>
      </c>
      <c r="Y11" t="str">
        <f t="shared" si="4"/>
        <v/>
      </c>
      <c r="Z11" t="str">
        <f t="shared" si="5"/>
        <v/>
      </c>
      <c r="AA11" t="str">
        <f t="shared" si="6"/>
        <v/>
      </c>
      <c r="AB11" t="str">
        <f t="shared" si="7"/>
        <v/>
      </c>
      <c r="AC11" t="str">
        <f t="shared" si="8"/>
        <v/>
      </c>
      <c r="AD11" t="str">
        <f t="shared" si="9"/>
        <v/>
      </c>
      <c r="AE11" t="str">
        <f t="shared" si="10"/>
        <v/>
      </c>
      <c r="AF11" t="str">
        <f t="shared" si="11"/>
        <v/>
      </c>
      <c r="AG11" t="str">
        <f t="shared" si="12"/>
        <v/>
      </c>
      <c r="AH11" t="str">
        <f t="shared" si="13"/>
        <v/>
      </c>
      <c r="AI11" t="str">
        <f t="shared" si="14"/>
        <v/>
      </c>
      <c r="AJ11" t="str">
        <f t="shared" si="15"/>
        <v/>
      </c>
      <c r="AK11" t="str">
        <f t="shared" si="16"/>
        <v/>
      </c>
    </row>
    <row r="12" spans="1:37" x14ac:dyDescent="0.35">
      <c r="T12" t="str">
        <f t="shared" si="0"/>
        <v/>
      </c>
      <c r="U12" t="str">
        <f t="shared" si="1"/>
        <v/>
      </c>
      <c r="V12" t="str">
        <f t="shared" si="2"/>
        <v/>
      </c>
      <c r="W12" t="str">
        <f>IFERROR(INDEX(Listas!$AC$2:$AC$4,MATCH(D12,Listas!$AB$2:$AB$4,0)),"")</f>
        <v/>
      </c>
      <c r="X12" t="str">
        <f t="shared" si="3"/>
        <v/>
      </c>
      <c r="Y12" t="str">
        <f t="shared" si="4"/>
        <v/>
      </c>
      <c r="Z12" t="str">
        <f t="shared" si="5"/>
        <v/>
      </c>
      <c r="AA12" t="str">
        <f t="shared" si="6"/>
        <v/>
      </c>
      <c r="AB12" t="str">
        <f t="shared" si="7"/>
        <v/>
      </c>
      <c r="AC12" t="str">
        <f t="shared" si="8"/>
        <v/>
      </c>
      <c r="AD12" t="str">
        <f t="shared" si="9"/>
        <v/>
      </c>
      <c r="AE12" t="str">
        <f t="shared" si="10"/>
        <v/>
      </c>
      <c r="AF12" t="str">
        <f t="shared" si="11"/>
        <v/>
      </c>
      <c r="AG12" t="str">
        <f t="shared" si="12"/>
        <v/>
      </c>
      <c r="AH12" t="str">
        <f t="shared" si="13"/>
        <v/>
      </c>
      <c r="AI12" t="str">
        <f t="shared" si="14"/>
        <v/>
      </c>
      <c r="AJ12" t="str">
        <f t="shared" si="15"/>
        <v/>
      </c>
      <c r="AK12" t="str">
        <f t="shared" si="16"/>
        <v/>
      </c>
    </row>
    <row r="13" spans="1:37" x14ac:dyDescent="0.35">
      <c r="T13" t="str">
        <f t="shared" si="0"/>
        <v/>
      </c>
      <c r="U13" t="str">
        <f t="shared" si="1"/>
        <v/>
      </c>
      <c r="V13" t="str">
        <f t="shared" si="2"/>
        <v/>
      </c>
      <c r="W13" t="str">
        <f>IFERROR(INDEX(Listas!$AC$2:$AC$4,MATCH(D13,Listas!$AB$2:$AB$4,0)),"")</f>
        <v/>
      </c>
      <c r="X13" t="str">
        <f t="shared" si="3"/>
        <v/>
      </c>
      <c r="Y13" t="str">
        <f t="shared" si="4"/>
        <v/>
      </c>
      <c r="Z13" t="str">
        <f t="shared" si="5"/>
        <v/>
      </c>
      <c r="AA13" t="str">
        <f t="shared" si="6"/>
        <v/>
      </c>
      <c r="AB13" t="str">
        <f t="shared" si="7"/>
        <v/>
      </c>
      <c r="AC13" t="str">
        <f t="shared" si="8"/>
        <v/>
      </c>
      <c r="AD13" t="str">
        <f t="shared" si="9"/>
        <v/>
      </c>
      <c r="AE13" t="str">
        <f t="shared" si="10"/>
        <v/>
      </c>
      <c r="AF13" t="str">
        <f t="shared" si="11"/>
        <v/>
      </c>
      <c r="AG13" t="str">
        <f t="shared" si="12"/>
        <v/>
      </c>
      <c r="AH13" t="str">
        <f t="shared" si="13"/>
        <v/>
      </c>
      <c r="AI13" t="str">
        <f t="shared" si="14"/>
        <v/>
      </c>
      <c r="AJ13" t="str">
        <f t="shared" si="15"/>
        <v/>
      </c>
      <c r="AK13" t="str">
        <f t="shared" si="16"/>
        <v/>
      </c>
    </row>
    <row r="14" spans="1:37" x14ac:dyDescent="0.35">
      <c r="T14" t="str">
        <f t="shared" si="0"/>
        <v/>
      </c>
      <c r="U14" t="str">
        <f t="shared" si="1"/>
        <v/>
      </c>
      <c r="V14" t="str">
        <f t="shared" si="2"/>
        <v/>
      </c>
      <c r="W14" t="str">
        <f>IFERROR(INDEX(Listas!$AC$2:$AC$4,MATCH(D14,Listas!$AB$2:$AB$4,0)),"")</f>
        <v/>
      </c>
      <c r="X14" t="str">
        <f t="shared" si="3"/>
        <v/>
      </c>
      <c r="Y14" t="str">
        <f t="shared" si="4"/>
        <v/>
      </c>
      <c r="Z14" t="str">
        <f t="shared" si="5"/>
        <v/>
      </c>
      <c r="AA14" t="str">
        <f t="shared" si="6"/>
        <v/>
      </c>
      <c r="AB14" t="str">
        <f t="shared" si="7"/>
        <v/>
      </c>
      <c r="AC14" t="str">
        <f t="shared" si="8"/>
        <v/>
      </c>
      <c r="AD14" t="str">
        <f t="shared" si="9"/>
        <v/>
      </c>
      <c r="AE14" t="str">
        <f t="shared" si="10"/>
        <v/>
      </c>
      <c r="AF14" t="str">
        <f t="shared" si="11"/>
        <v/>
      </c>
      <c r="AG14" t="str">
        <f t="shared" si="12"/>
        <v/>
      </c>
      <c r="AH14" t="str">
        <f t="shared" si="13"/>
        <v/>
      </c>
      <c r="AI14" t="str">
        <f t="shared" si="14"/>
        <v/>
      </c>
      <c r="AJ14" t="str">
        <f t="shared" si="15"/>
        <v/>
      </c>
      <c r="AK14" t="str">
        <f t="shared" si="16"/>
        <v/>
      </c>
    </row>
    <row r="15" spans="1:37" x14ac:dyDescent="0.35">
      <c r="T15" t="str">
        <f t="shared" si="0"/>
        <v/>
      </c>
      <c r="U15" t="str">
        <f t="shared" si="1"/>
        <v/>
      </c>
      <c r="V15" t="str">
        <f t="shared" si="2"/>
        <v/>
      </c>
      <c r="W15" t="str">
        <f>IFERROR(INDEX(Listas!$AC$2:$AC$4,MATCH(D15,Listas!$AB$2:$AB$4,0)),"")</f>
        <v/>
      </c>
      <c r="X15" t="str">
        <f t="shared" si="3"/>
        <v/>
      </c>
      <c r="Y15" t="str">
        <f t="shared" si="4"/>
        <v/>
      </c>
      <c r="Z15" t="str">
        <f t="shared" si="5"/>
        <v/>
      </c>
      <c r="AA15" t="str">
        <f t="shared" si="6"/>
        <v/>
      </c>
      <c r="AB15" t="str">
        <f t="shared" si="7"/>
        <v/>
      </c>
      <c r="AC15" t="str">
        <f t="shared" si="8"/>
        <v/>
      </c>
      <c r="AD15" t="str">
        <f t="shared" si="9"/>
        <v/>
      </c>
      <c r="AE15" t="str">
        <f t="shared" si="10"/>
        <v/>
      </c>
      <c r="AF15" t="str">
        <f t="shared" si="11"/>
        <v/>
      </c>
      <c r="AG15" t="str">
        <f t="shared" si="12"/>
        <v/>
      </c>
      <c r="AH15" t="str">
        <f t="shared" si="13"/>
        <v/>
      </c>
      <c r="AI15" t="str">
        <f t="shared" si="14"/>
        <v/>
      </c>
      <c r="AJ15" t="str">
        <f t="shared" si="15"/>
        <v/>
      </c>
      <c r="AK15" t="str">
        <f t="shared" si="16"/>
        <v/>
      </c>
    </row>
    <row r="16" spans="1:37" x14ac:dyDescent="0.35">
      <c r="T16" t="str">
        <f t="shared" si="0"/>
        <v/>
      </c>
      <c r="U16" t="str">
        <f t="shared" si="1"/>
        <v/>
      </c>
      <c r="V16" t="str">
        <f t="shared" si="2"/>
        <v/>
      </c>
      <c r="W16" t="str">
        <f>IFERROR(INDEX(Listas!$AC$2:$AC$4,MATCH(D16,Listas!$AB$2:$AB$4,0)),"")</f>
        <v/>
      </c>
      <c r="X16" t="str">
        <f t="shared" si="3"/>
        <v/>
      </c>
      <c r="Y16" t="str">
        <f t="shared" si="4"/>
        <v/>
      </c>
      <c r="Z16" t="str">
        <f t="shared" si="5"/>
        <v/>
      </c>
      <c r="AA16" t="str">
        <f t="shared" si="6"/>
        <v/>
      </c>
      <c r="AB16" t="str">
        <f t="shared" si="7"/>
        <v/>
      </c>
      <c r="AC16" t="str">
        <f t="shared" si="8"/>
        <v/>
      </c>
      <c r="AD16" t="str">
        <f t="shared" si="9"/>
        <v/>
      </c>
      <c r="AE16" t="str">
        <f t="shared" si="10"/>
        <v/>
      </c>
      <c r="AF16" t="str">
        <f t="shared" si="11"/>
        <v/>
      </c>
      <c r="AG16" t="str">
        <f t="shared" si="12"/>
        <v/>
      </c>
      <c r="AH16" t="str">
        <f t="shared" si="13"/>
        <v/>
      </c>
      <c r="AI16" t="str">
        <f t="shared" si="14"/>
        <v/>
      </c>
      <c r="AJ16" t="str">
        <f t="shared" si="15"/>
        <v/>
      </c>
      <c r="AK16" t="str">
        <f t="shared" si="16"/>
        <v/>
      </c>
    </row>
    <row r="17" spans="20:37" x14ac:dyDescent="0.35">
      <c r="T17" t="str">
        <f t="shared" si="0"/>
        <v/>
      </c>
      <c r="U17" t="str">
        <f t="shared" si="1"/>
        <v/>
      </c>
      <c r="V17" t="str">
        <f t="shared" si="2"/>
        <v/>
      </c>
      <c r="W17" t="str">
        <f>IFERROR(INDEX(Listas!$AC$2:$AC$4,MATCH(D17,Listas!$AB$2:$AB$4,0)),"")</f>
        <v/>
      </c>
      <c r="X17" t="str">
        <f t="shared" si="3"/>
        <v/>
      </c>
      <c r="Y17" t="str">
        <f t="shared" si="4"/>
        <v/>
      </c>
      <c r="Z17" t="str">
        <f t="shared" si="5"/>
        <v/>
      </c>
      <c r="AA17" t="str">
        <f t="shared" si="6"/>
        <v/>
      </c>
      <c r="AB17" t="str">
        <f t="shared" si="7"/>
        <v/>
      </c>
      <c r="AC17" t="str">
        <f t="shared" si="8"/>
        <v/>
      </c>
      <c r="AD17" t="str">
        <f t="shared" si="9"/>
        <v/>
      </c>
      <c r="AE17" t="str">
        <f t="shared" si="10"/>
        <v/>
      </c>
      <c r="AF17" t="str">
        <f t="shared" si="11"/>
        <v/>
      </c>
      <c r="AG17" t="str">
        <f t="shared" si="12"/>
        <v/>
      </c>
      <c r="AH17" t="str">
        <f t="shared" si="13"/>
        <v/>
      </c>
      <c r="AI17" t="str">
        <f t="shared" si="14"/>
        <v/>
      </c>
      <c r="AJ17" t="str">
        <f t="shared" si="15"/>
        <v/>
      </c>
      <c r="AK17" t="str">
        <f t="shared" si="16"/>
        <v/>
      </c>
    </row>
    <row r="18" spans="20:37" x14ac:dyDescent="0.35">
      <c r="T18" t="str">
        <f t="shared" si="0"/>
        <v/>
      </c>
      <c r="U18" t="str">
        <f t="shared" si="1"/>
        <v/>
      </c>
      <c r="V18" t="str">
        <f t="shared" si="2"/>
        <v/>
      </c>
      <c r="W18" t="str">
        <f>IFERROR(INDEX(Listas!$AC$2:$AC$4,MATCH(D18,Listas!$AB$2:$AB$4,0)),"")</f>
        <v/>
      </c>
      <c r="X18" t="str">
        <f t="shared" si="3"/>
        <v/>
      </c>
      <c r="Y18" t="str">
        <f t="shared" si="4"/>
        <v/>
      </c>
      <c r="Z18" t="str">
        <f t="shared" si="5"/>
        <v/>
      </c>
      <c r="AA18" t="str">
        <f t="shared" si="6"/>
        <v/>
      </c>
      <c r="AB18" t="str">
        <f t="shared" si="7"/>
        <v/>
      </c>
      <c r="AC18" t="str">
        <f t="shared" si="8"/>
        <v/>
      </c>
      <c r="AD18" t="str">
        <f t="shared" si="9"/>
        <v/>
      </c>
      <c r="AE18" t="str">
        <f t="shared" si="10"/>
        <v/>
      </c>
      <c r="AF18" t="str">
        <f t="shared" si="11"/>
        <v/>
      </c>
      <c r="AG18" t="str">
        <f t="shared" si="12"/>
        <v/>
      </c>
      <c r="AH18" t="str">
        <f t="shared" si="13"/>
        <v/>
      </c>
      <c r="AI18" t="str">
        <f t="shared" si="14"/>
        <v/>
      </c>
      <c r="AJ18" t="str">
        <f t="shared" si="15"/>
        <v/>
      </c>
      <c r="AK18" t="str">
        <f t="shared" si="16"/>
        <v/>
      </c>
    </row>
    <row r="19" spans="20:37" x14ac:dyDescent="0.35">
      <c r="T19" t="str">
        <f t="shared" si="0"/>
        <v/>
      </c>
      <c r="U19" t="str">
        <f t="shared" si="1"/>
        <v/>
      </c>
      <c r="V19" t="str">
        <f t="shared" si="2"/>
        <v/>
      </c>
      <c r="W19" t="str">
        <f>IFERROR(INDEX(Listas!$AC$2:$AC$4,MATCH(D19,Listas!$AB$2:$AB$4,0)),"")</f>
        <v/>
      </c>
      <c r="X19" t="str">
        <f t="shared" si="3"/>
        <v/>
      </c>
      <c r="Y19" t="str">
        <f t="shared" si="4"/>
        <v/>
      </c>
      <c r="Z19" t="str">
        <f t="shared" si="5"/>
        <v/>
      </c>
      <c r="AA19" t="str">
        <f t="shared" si="6"/>
        <v/>
      </c>
      <c r="AB19" t="str">
        <f t="shared" si="7"/>
        <v/>
      </c>
      <c r="AC19" t="str">
        <f t="shared" si="8"/>
        <v/>
      </c>
      <c r="AD19" t="str">
        <f t="shared" si="9"/>
        <v/>
      </c>
      <c r="AE19" t="str">
        <f t="shared" si="10"/>
        <v/>
      </c>
      <c r="AF19" t="str">
        <f t="shared" si="11"/>
        <v/>
      </c>
      <c r="AG19" t="str">
        <f t="shared" si="12"/>
        <v/>
      </c>
      <c r="AH19" t="str">
        <f t="shared" si="13"/>
        <v/>
      </c>
      <c r="AI19" t="str">
        <f t="shared" si="14"/>
        <v/>
      </c>
      <c r="AJ19" t="str">
        <f t="shared" si="15"/>
        <v/>
      </c>
      <c r="AK19" t="str">
        <f t="shared" si="16"/>
        <v/>
      </c>
    </row>
    <row r="20" spans="20:37" x14ac:dyDescent="0.35">
      <c r="T20" t="str">
        <f t="shared" si="0"/>
        <v/>
      </c>
      <c r="U20" t="str">
        <f t="shared" si="1"/>
        <v/>
      </c>
      <c r="V20" t="str">
        <f t="shared" si="2"/>
        <v/>
      </c>
      <c r="W20" t="str">
        <f>IFERROR(INDEX(Listas!$AC$2:$AC$4,MATCH(D20,Listas!$AB$2:$AB$4,0)),"")</f>
        <v/>
      </c>
      <c r="X20" t="str">
        <f t="shared" si="3"/>
        <v/>
      </c>
      <c r="Y20" t="str">
        <f t="shared" si="4"/>
        <v/>
      </c>
      <c r="Z20" t="str">
        <f t="shared" si="5"/>
        <v/>
      </c>
      <c r="AA20" t="str">
        <f t="shared" si="6"/>
        <v/>
      </c>
      <c r="AB20" t="str">
        <f t="shared" si="7"/>
        <v/>
      </c>
      <c r="AC20" t="str">
        <f t="shared" si="8"/>
        <v/>
      </c>
      <c r="AD20" t="str">
        <f t="shared" si="9"/>
        <v/>
      </c>
      <c r="AE20" t="str">
        <f t="shared" si="10"/>
        <v/>
      </c>
      <c r="AF20" t="str">
        <f t="shared" si="11"/>
        <v/>
      </c>
      <c r="AG20" t="str">
        <f t="shared" si="12"/>
        <v/>
      </c>
      <c r="AH20" t="str">
        <f t="shared" si="13"/>
        <v/>
      </c>
      <c r="AI20" t="str">
        <f t="shared" si="14"/>
        <v/>
      </c>
      <c r="AJ20" t="str">
        <f t="shared" si="15"/>
        <v/>
      </c>
      <c r="AK20" t="str">
        <f t="shared" si="16"/>
        <v/>
      </c>
    </row>
    <row r="21" spans="20:37" x14ac:dyDescent="0.35">
      <c r="T21" t="str">
        <f t="shared" si="0"/>
        <v/>
      </c>
      <c r="U21" t="str">
        <f t="shared" si="1"/>
        <v/>
      </c>
      <c r="V21" t="str">
        <f t="shared" si="2"/>
        <v/>
      </c>
      <c r="W21" t="str">
        <f>IFERROR(INDEX(Listas!$AC$2:$AC$4,MATCH(D21,Listas!$AB$2:$AB$4,0)),"")</f>
        <v/>
      </c>
      <c r="X21" t="str">
        <f t="shared" si="3"/>
        <v/>
      </c>
      <c r="Y21" t="str">
        <f t="shared" si="4"/>
        <v/>
      </c>
      <c r="Z21" t="str">
        <f t="shared" si="5"/>
        <v/>
      </c>
      <c r="AA21" t="str">
        <f t="shared" si="6"/>
        <v/>
      </c>
      <c r="AB21" t="str">
        <f t="shared" si="7"/>
        <v/>
      </c>
      <c r="AC21" t="str">
        <f t="shared" si="8"/>
        <v/>
      </c>
      <c r="AD21" t="str">
        <f t="shared" si="9"/>
        <v/>
      </c>
      <c r="AE21" t="str">
        <f t="shared" si="10"/>
        <v/>
      </c>
      <c r="AF21" t="str">
        <f t="shared" si="11"/>
        <v/>
      </c>
      <c r="AG21" t="str">
        <f t="shared" si="12"/>
        <v/>
      </c>
      <c r="AH21" t="str">
        <f t="shared" si="13"/>
        <v/>
      </c>
      <c r="AI21" t="str">
        <f t="shared" si="14"/>
        <v/>
      </c>
      <c r="AJ21" t="str">
        <f t="shared" si="15"/>
        <v/>
      </c>
      <c r="AK21" t="str">
        <f t="shared" si="16"/>
        <v/>
      </c>
    </row>
    <row r="22" spans="20:37" x14ac:dyDescent="0.35">
      <c r="T22" t="str">
        <f t="shared" si="0"/>
        <v/>
      </c>
      <c r="U22" t="str">
        <f t="shared" si="1"/>
        <v/>
      </c>
      <c r="V22" t="str">
        <f t="shared" si="2"/>
        <v/>
      </c>
      <c r="W22" t="str">
        <f>IFERROR(INDEX(Listas!$AC$2:$AC$4,MATCH(D22,Listas!$AB$2:$AB$4,0)),"")</f>
        <v/>
      </c>
      <c r="X22" t="str">
        <f t="shared" si="3"/>
        <v/>
      </c>
      <c r="Y22" t="str">
        <f t="shared" si="4"/>
        <v/>
      </c>
      <c r="Z22" t="str">
        <f t="shared" si="5"/>
        <v/>
      </c>
      <c r="AA22" t="str">
        <f t="shared" si="6"/>
        <v/>
      </c>
      <c r="AB22" t="str">
        <f t="shared" si="7"/>
        <v/>
      </c>
      <c r="AC22" t="str">
        <f t="shared" si="8"/>
        <v/>
      </c>
      <c r="AD22" t="str">
        <f t="shared" si="9"/>
        <v/>
      </c>
      <c r="AE22" t="str">
        <f t="shared" si="10"/>
        <v/>
      </c>
      <c r="AF22" t="str">
        <f t="shared" si="11"/>
        <v/>
      </c>
      <c r="AG22" t="str">
        <f t="shared" si="12"/>
        <v/>
      </c>
      <c r="AH22" t="str">
        <f t="shared" si="13"/>
        <v/>
      </c>
      <c r="AI22" t="str">
        <f t="shared" si="14"/>
        <v/>
      </c>
      <c r="AJ22" t="str">
        <f t="shared" si="15"/>
        <v/>
      </c>
      <c r="AK22" t="str">
        <f t="shared" si="16"/>
        <v/>
      </c>
    </row>
    <row r="23" spans="20:37" x14ac:dyDescent="0.35">
      <c r="T23" t="str">
        <f t="shared" si="0"/>
        <v/>
      </c>
      <c r="U23" t="str">
        <f t="shared" si="1"/>
        <v/>
      </c>
      <c r="V23" t="str">
        <f t="shared" si="2"/>
        <v/>
      </c>
      <c r="W23" t="str">
        <f>IFERROR(INDEX(Listas!$AC$2:$AC$4,MATCH(D23,Listas!$AB$2:$AB$4,0)),"")</f>
        <v/>
      </c>
      <c r="X23" t="str">
        <f t="shared" si="3"/>
        <v/>
      </c>
      <c r="Y23" t="str">
        <f t="shared" si="4"/>
        <v/>
      </c>
      <c r="Z23" t="str">
        <f t="shared" si="5"/>
        <v/>
      </c>
      <c r="AA23" t="str">
        <f t="shared" si="6"/>
        <v/>
      </c>
      <c r="AB23" t="str">
        <f t="shared" si="7"/>
        <v/>
      </c>
      <c r="AC23" t="str">
        <f t="shared" si="8"/>
        <v/>
      </c>
      <c r="AD23" t="str">
        <f t="shared" si="9"/>
        <v/>
      </c>
      <c r="AE23" t="str">
        <f t="shared" si="10"/>
        <v/>
      </c>
      <c r="AF23" t="str">
        <f t="shared" si="11"/>
        <v/>
      </c>
      <c r="AG23" t="str">
        <f t="shared" si="12"/>
        <v/>
      </c>
      <c r="AH23" t="str">
        <f t="shared" si="13"/>
        <v/>
      </c>
      <c r="AI23" t="str">
        <f t="shared" si="14"/>
        <v/>
      </c>
      <c r="AJ23" t="str">
        <f t="shared" si="15"/>
        <v/>
      </c>
      <c r="AK23" t="str">
        <f t="shared" si="16"/>
        <v/>
      </c>
    </row>
    <row r="24" spans="20:37" x14ac:dyDescent="0.35">
      <c r="T24" t="str">
        <f t="shared" si="0"/>
        <v/>
      </c>
      <c r="U24" t="str">
        <f t="shared" si="1"/>
        <v/>
      </c>
      <c r="V24" t="str">
        <f t="shared" si="2"/>
        <v/>
      </c>
      <c r="W24" t="str">
        <f>IFERROR(INDEX(Listas!$AC$2:$AC$4,MATCH(D24,Listas!$AB$2:$AB$4,0)),"")</f>
        <v/>
      </c>
      <c r="X24" t="str">
        <f t="shared" si="3"/>
        <v/>
      </c>
      <c r="Y24" t="str">
        <f t="shared" si="4"/>
        <v/>
      </c>
      <c r="Z24" t="str">
        <f t="shared" si="5"/>
        <v/>
      </c>
      <c r="AA24" t="str">
        <f t="shared" si="6"/>
        <v/>
      </c>
      <c r="AB24" t="str">
        <f t="shared" si="7"/>
        <v/>
      </c>
      <c r="AC24" t="str">
        <f t="shared" si="8"/>
        <v/>
      </c>
      <c r="AD24" t="str">
        <f t="shared" si="9"/>
        <v/>
      </c>
      <c r="AE24" t="str">
        <f t="shared" si="10"/>
        <v/>
      </c>
      <c r="AF24" t="str">
        <f t="shared" si="11"/>
        <v/>
      </c>
      <c r="AG24" t="str">
        <f t="shared" si="12"/>
        <v/>
      </c>
      <c r="AH24" t="str">
        <f t="shared" si="13"/>
        <v/>
      </c>
      <c r="AI24" t="str">
        <f t="shared" si="14"/>
        <v/>
      </c>
      <c r="AJ24" t="str">
        <f t="shared" si="15"/>
        <v/>
      </c>
      <c r="AK24" t="str">
        <f t="shared" si="16"/>
        <v/>
      </c>
    </row>
    <row r="25" spans="20:37" x14ac:dyDescent="0.35">
      <c r="T25" t="str">
        <f t="shared" si="0"/>
        <v/>
      </c>
      <c r="U25" t="str">
        <f t="shared" si="1"/>
        <v/>
      </c>
      <c r="V25" t="str">
        <f t="shared" si="2"/>
        <v/>
      </c>
      <c r="W25" t="str">
        <f>IFERROR(INDEX(Listas!$AC$2:$AC$4,MATCH(D25,Listas!$AB$2:$AB$4,0)),"")</f>
        <v/>
      </c>
      <c r="X25" t="str">
        <f t="shared" si="3"/>
        <v/>
      </c>
      <c r="Y25" t="str">
        <f t="shared" si="4"/>
        <v/>
      </c>
      <c r="Z25" t="str">
        <f t="shared" si="5"/>
        <v/>
      </c>
      <c r="AA25" t="str">
        <f t="shared" si="6"/>
        <v/>
      </c>
      <c r="AB25" t="str">
        <f t="shared" si="7"/>
        <v/>
      </c>
      <c r="AC25" t="str">
        <f t="shared" si="8"/>
        <v/>
      </c>
      <c r="AD25" t="str">
        <f t="shared" si="9"/>
        <v/>
      </c>
      <c r="AE25" t="str">
        <f t="shared" si="10"/>
        <v/>
      </c>
      <c r="AF25" t="str">
        <f t="shared" si="11"/>
        <v/>
      </c>
      <c r="AG25" t="str">
        <f t="shared" si="12"/>
        <v/>
      </c>
      <c r="AH25" t="str">
        <f t="shared" si="13"/>
        <v/>
      </c>
      <c r="AI25" t="str">
        <f t="shared" si="14"/>
        <v/>
      </c>
      <c r="AJ25" t="str">
        <f t="shared" si="15"/>
        <v/>
      </c>
      <c r="AK25" t="str">
        <f t="shared" si="16"/>
        <v/>
      </c>
    </row>
    <row r="26" spans="20:37" x14ac:dyDescent="0.35">
      <c r="T26" t="str">
        <f t="shared" si="0"/>
        <v/>
      </c>
      <c r="U26" t="str">
        <f t="shared" si="1"/>
        <v/>
      </c>
      <c r="V26" t="str">
        <f t="shared" si="2"/>
        <v/>
      </c>
      <c r="W26" t="str">
        <f>IFERROR(INDEX(Listas!$AC$2:$AC$4,MATCH(D26,Listas!$AB$2:$AB$4,0)),"")</f>
        <v/>
      </c>
      <c r="X26" t="str">
        <f t="shared" si="3"/>
        <v/>
      </c>
      <c r="Y26" t="str">
        <f t="shared" si="4"/>
        <v/>
      </c>
      <c r="Z26" t="str">
        <f t="shared" si="5"/>
        <v/>
      </c>
      <c r="AA26" t="str">
        <f t="shared" si="6"/>
        <v/>
      </c>
      <c r="AB26" t="str">
        <f t="shared" si="7"/>
        <v/>
      </c>
      <c r="AC26" t="str">
        <f t="shared" si="8"/>
        <v/>
      </c>
      <c r="AD26" t="str">
        <f t="shared" si="9"/>
        <v/>
      </c>
      <c r="AE26" t="str">
        <f t="shared" si="10"/>
        <v/>
      </c>
      <c r="AF26" t="str">
        <f t="shared" si="11"/>
        <v/>
      </c>
      <c r="AG26" t="str">
        <f t="shared" si="12"/>
        <v/>
      </c>
      <c r="AH26" t="str">
        <f t="shared" si="13"/>
        <v/>
      </c>
      <c r="AI26" t="str">
        <f t="shared" si="14"/>
        <v/>
      </c>
      <c r="AJ26" t="str">
        <f t="shared" si="15"/>
        <v/>
      </c>
      <c r="AK26" t="str">
        <f t="shared" si="16"/>
        <v/>
      </c>
    </row>
    <row r="27" spans="20:37" x14ac:dyDescent="0.35">
      <c r="T27" t="str">
        <f t="shared" si="0"/>
        <v/>
      </c>
      <c r="U27" t="str">
        <f t="shared" si="1"/>
        <v/>
      </c>
      <c r="V27" t="str">
        <f t="shared" si="2"/>
        <v/>
      </c>
      <c r="W27" t="str">
        <f>IFERROR(INDEX(Listas!$AC$2:$AC$4,MATCH(D27,Listas!$AB$2:$AB$4,0)),"")</f>
        <v/>
      </c>
      <c r="X27" t="str">
        <f t="shared" si="3"/>
        <v/>
      </c>
      <c r="Y27" t="str">
        <f t="shared" si="4"/>
        <v/>
      </c>
      <c r="Z27" t="str">
        <f t="shared" si="5"/>
        <v/>
      </c>
      <c r="AA27" t="str">
        <f t="shared" si="6"/>
        <v/>
      </c>
      <c r="AB27" t="str">
        <f t="shared" si="7"/>
        <v/>
      </c>
      <c r="AC27" t="str">
        <f t="shared" si="8"/>
        <v/>
      </c>
      <c r="AD27" t="str">
        <f t="shared" si="9"/>
        <v/>
      </c>
      <c r="AE27" t="str">
        <f t="shared" si="10"/>
        <v/>
      </c>
      <c r="AF27" t="str">
        <f t="shared" si="11"/>
        <v/>
      </c>
      <c r="AG27" t="str">
        <f t="shared" si="12"/>
        <v/>
      </c>
      <c r="AH27" t="str">
        <f t="shared" si="13"/>
        <v/>
      </c>
      <c r="AI27" t="str">
        <f t="shared" si="14"/>
        <v/>
      </c>
      <c r="AJ27" t="str">
        <f t="shared" si="15"/>
        <v/>
      </c>
      <c r="AK27" t="str">
        <f t="shared" si="16"/>
        <v/>
      </c>
    </row>
    <row r="28" spans="20:37" x14ac:dyDescent="0.35">
      <c r="T28" t="str">
        <f t="shared" si="0"/>
        <v/>
      </c>
      <c r="U28" t="str">
        <f t="shared" si="1"/>
        <v/>
      </c>
      <c r="V28" t="str">
        <f t="shared" si="2"/>
        <v/>
      </c>
      <c r="W28" t="str">
        <f>IFERROR(INDEX(Listas!$AC$2:$AC$4,MATCH(D28,Listas!$AB$2:$AB$4,0)),"")</f>
        <v/>
      </c>
      <c r="X28" t="str">
        <f t="shared" si="3"/>
        <v/>
      </c>
      <c r="Y28" t="str">
        <f t="shared" si="4"/>
        <v/>
      </c>
      <c r="Z28" t="str">
        <f t="shared" si="5"/>
        <v/>
      </c>
      <c r="AA28" t="str">
        <f t="shared" si="6"/>
        <v/>
      </c>
      <c r="AB28" t="str">
        <f t="shared" si="7"/>
        <v/>
      </c>
      <c r="AC28" t="str">
        <f t="shared" si="8"/>
        <v/>
      </c>
      <c r="AD28" t="str">
        <f t="shared" si="9"/>
        <v/>
      </c>
      <c r="AE28" t="str">
        <f t="shared" si="10"/>
        <v/>
      </c>
      <c r="AF28" t="str">
        <f t="shared" si="11"/>
        <v/>
      </c>
      <c r="AG28" t="str">
        <f t="shared" si="12"/>
        <v/>
      </c>
      <c r="AH28" t="str">
        <f t="shared" si="13"/>
        <v/>
      </c>
      <c r="AI28" t="str">
        <f t="shared" si="14"/>
        <v/>
      </c>
      <c r="AJ28" t="str">
        <f t="shared" si="15"/>
        <v/>
      </c>
      <c r="AK28" t="str">
        <f t="shared" si="16"/>
        <v/>
      </c>
    </row>
    <row r="29" spans="20:37" x14ac:dyDescent="0.35">
      <c r="T29" t="str">
        <f t="shared" si="0"/>
        <v/>
      </c>
      <c r="U29" t="str">
        <f t="shared" si="1"/>
        <v/>
      </c>
      <c r="V29" t="str">
        <f t="shared" si="2"/>
        <v/>
      </c>
      <c r="W29" t="str">
        <f>IFERROR(INDEX(Listas!$AC$2:$AC$4,MATCH(D29,Listas!$AB$2:$AB$4,0)),"")</f>
        <v/>
      </c>
      <c r="X29" t="str">
        <f t="shared" si="3"/>
        <v/>
      </c>
      <c r="Y29" t="str">
        <f t="shared" si="4"/>
        <v/>
      </c>
      <c r="Z29" t="str">
        <f t="shared" si="5"/>
        <v/>
      </c>
      <c r="AA29" t="str">
        <f t="shared" si="6"/>
        <v/>
      </c>
      <c r="AB29" t="str">
        <f t="shared" si="7"/>
        <v/>
      </c>
      <c r="AC29" t="str">
        <f t="shared" si="8"/>
        <v/>
      </c>
      <c r="AD29" t="str">
        <f t="shared" si="9"/>
        <v/>
      </c>
      <c r="AE29" t="str">
        <f t="shared" si="10"/>
        <v/>
      </c>
      <c r="AF29" t="str">
        <f t="shared" si="11"/>
        <v/>
      </c>
      <c r="AG29" t="str">
        <f t="shared" si="12"/>
        <v/>
      </c>
      <c r="AH29" t="str">
        <f t="shared" si="13"/>
        <v/>
      </c>
      <c r="AI29" t="str">
        <f t="shared" si="14"/>
        <v/>
      </c>
      <c r="AJ29" t="str">
        <f t="shared" si="15"/>
        <v/>
      </c>
      <c r="AK29" t="str">
        <f t="shared" si="16"/>
        <v/>
      </c>
    </row>
    <row r="30" spans="20:37" x14ac:dyDescent="0.35">
      <c r="T30" t="str">
        <f t="shared" si="0"/>
        <v/>
      </c>
      <c r="U30" t="str">
        <f t="shared" si="1"/>
        <v/>
      </c>
      <c r="V30" t="str">
        <f t="shared" si="2"/>
        <v/>
      </c>
      <c r="W30" t="str">
        <f>IFERROR(INDEX(Listas!$AC$2:$AC$4,MATCH(D30,Listas!$AB$2:$AB$4,0)),"")</f>
        <v/>
      </c>
      <c r="X30" t="str">
        <f t="shared" si="3"/>
        <v/>
      </c>
      <c r="Y30" t="str">
        <f t="shared" si="4"/>
        <v/>
      </c>
      <c r="Z30" t="str">
        <f t="shared" si="5"/>
        <v/>
      </c>
      <c r="AA30" t="str">
        <f t="shared" si="6"/>
        <v/>
      </c>
      <c r="AB30" t="str">
        <f t="shared" si="7"/>
        <v/>
      </c>
      <c r="AC30" t="str">
        <f t="shared" si="8"/>
        <v/>
      </c>
      <c r="AD30" t="str">
        <f t="shared" si="9"/>
        <v/>
      </c>
      <c r="AE30" t="str">
        <f t="shared" si="10"/>
        <v/>
      </c>
      <c r="AF30" t="str">
        <f t="shared" si="11"/>
        <v/>
      </c>
      <c r="AG30" t="str">
        <f t="shared" si="12"/>
        <v/>
      </c>
      <c r="AH30" t="str">
        <f t="shared" si="13"/>
        <v/>
      </c>
      <c r="AI30" t="str">
        <f t="shared" si="14"/>
        <v/>
      </c>
      <c r="AJ30" t="str">
        <f t="shared" si="15"/>
        <v/>
      </c>
      <c r="AK30" t="str">
        <f t="shared" si="16"/>
        <v/>
      </c>
    </row>
    <row r="31" spans="20:37" x14ac:dyDescent="0.35">
      <c r="T31" t="str">
        <f t="shared" si="0"/>
        <v/>
      </c>
      <c r="U31" t="str">
        <f t="shared" si="1"/>
        <v/>
      </c>
      <c r="V31" t="str">
        <f t="shared" si="2"/>
        <v/>
      </c>
      <c r="W31" t="str">
        <f>IFERROR(INDEX(Listas!$AC$2:$AC$4,MATCH(D31,Listas!$AB$2:$AB$4,0)),"")</f>
        <v/>
      </c>
      <c r="X31" t="str">
        <f t="shared" si="3"/>
        <v/>
      </c>
      <c r="Y31" t="str">
        <f t="shared" si="4"/>
        <v/>
      </c>
      <c r="Z31" t="str">
        <f t="shared" si="5"/>
        <v/>
      </c>
      <c r="AA31" t="str">
        <f t="shared" si="6"/>
        <v/>
      </c>
      <c r="AB31" t="str">
        <f t="shared" si="7"/>
        <v/>
      </c>
      <c r="AC31" t="str">
        <f t="shared" si="8"/>
        <v/>
      </c>
      <c r="AD31" t="str">
        <f t="shared" si="9"/>
        <v/>
      </c>
      <c r="AE31" t="str">
        <f t="shared" si="10"/>
        <v/>
      </c>
      <c r="AF31" t="str">
        <f t="shared" si="11"/>
        <v/>
      </c>
      <c r="AG31" t="str">
        <f t="shared" si="12"/>
        <v/>
      </c>
      <c r="AH31" t="str">
        <f t="shared" si="13"/>
        <v/>
      </c>
      <c r="AI31" t="str">
        <f t="shared" si="14"/>
        <v/>
      </c>
      <c r="AJ31" t="str">
        <f t="shared" si="15"/>
        <v/>
      </c>
      <c r="AK31" t="str">
        <f t="shared" si="16"/>
        <v/>
      </c>
    </row>
    <row r="32" spans="20:37" x14ac:dyDescent="0.35">
      <c r="T32" t="str">
        <f t="shared" si="0"/>
        <v/>
      </c>
      <c r="U32" t="str">
        <f t="shared" si="1"/>
        <v/>
      </c>
      <c r="V32" t="str">
        <f t="shared" si="2"/>
        <v/>
      </c>
      <c r="W32" t="str">
        <f>IFERROR(INDEX(Listas!$AC$2:$AC$4,MATCH(D32,Listas!$AB$2:$AB$4,0)),"")</f>
        <v/>
      </c>
      <c r="X32" t="str">
        <f t="shared" si="3"/>
        <v/>
      </c>
      <c r="Y32" t="str">
        <f t="shared" si="4"/>
        <v/>
      </c>
      <c r="Z32" t="str">
        <f t="shared" si="5"/>
        <v/>
      </c>
      <c r="AA32" t="str">
        <f t="shared" si="6"/>
        <v/>
      </c>
      <c r="AB32" t="str">
        <f t="shared" si="7"/>
        <v/>
      </c>
      <c r="AC32" t="str">
        <f t="shared" si="8"/>
        <v/>
      </c>
      <c r="AD32" t="str">
        <f t="shared" si="9"/>
        <v/>
      </c>
      <c r="AE32" t="str">
        <f t="shared" si="10"/>
        <v/>
      </c>
      <c r="AF32" t="str">
        <f t="shared" si="11"/>
        <v/>
      </c>
      <c r="AG32" t="str">
        <f t="shared" si="12"/>
        <v/>
      </c>
      <c r="AH32" t="str">
        <f t="shared" si="13"/>
        <v/>
      </c>
      <c r="AI32" t="str">
        <f t="shared" si="14"/>
        <v/>
      </c>
      <c r="AJ32" t="str">
        <f t="shared" si="15"/>
        <v/>
      </c>
      <c r="AK32" t="str">
        <f t="shared" si="16"/>
        <v/>
      </c>
    </row>
    <row r="33" spans="20:37" x14ac:dyDescent="0.35">
      <c r="T33" t="str">
        <f t="shared" si="0"/>
        <v/>
      </c>
      <c r="U33" t="str">
        <f t="shared" si="1"/>
        <v/>
      </c>
      <c r="V33" t="str">
        <f t="shared" si="2"/>
        <v/>
      </c>
      <c r="W33" t="str">
        <f>IFERROR(INDEX(Listas!$AC$2:$AC$4,MATCH(D33,Listas!$AB$2:$AB$4,0)),"")</f>
        <v/>
      </c>
      <c r="X33" t="str">
        <f t="shared" si="3"/>
        <v/>
      </c>
      <c r="Y33" t="str">
        <f t="shared" si="4"/>
        <v/>
      </c>
      <c r="Z33" t="str">
        <f t="shared" si="5"/>
        <v/>
      </c>
      <c r="AA33" t="str">
        <f t="shared" si="6"/>
        <v/>
      </c>
      <c r="AB33" t="str">
        <f t="shared" si="7"/>
        <v/>
      </c>
      <c r="AC33" t="str">
        <f t="shared" si="8"/>
        <v/>
      </c>
      <c r="AD33" t="str">
        <f t="shared" si="9"/>
        <v/>
      </c>
      <c r="AE33" t="str">
        <f t="shared" si="10"/>
        <v/>
      </c>
      <c r="AF33" t="str">
        <f t="shared" si="11"/>
        <v/>
      </c>
      <c r="AG33" t="str">
        <f t="shared" si="12"/>
        <v/>
      </c>
      <c r="AH33" t="str">
        <f t="shared" si="13"/>
        <v/>
      </c>
      <c r="AI33" t="str">
        <f t="shared" si="14"/>
        <v/>
      </c>
      <c r="AJ33" t="str">
        <f t="shared" si="15"/>
        <v/>
      </c>
      <c r="AK33" t="str">
        <f t="shared" si="16"/>
        <v/>
      </c>
    </row>
    <row r="34" spans="20:37" x14ac:dyDescent="0.35">
      <c r="T34" t="str">
        <f t="shared" ref="T34:T61" si="17">IF(A34="","",A34)</f>
        <v/>
      </c>
      <c r="U34" t="str">
        <f t="shared" ref="U34:U61" si="18">IF(B34="","",B34)</f>
        <v/>
      </c>
      <c r="V34" t="str">
        <f t="shared" ref="V34:V61" si="19">IF(C34="","",C34)</f>
        <v/>
      </c>
      <c r="W34" t="str">
        <f>IFERROR(INDEX(Listas!$AC$2:$AC$4,MATCH(D34,Listas!$AB$2:$AB$4,0)),"")</f>
        <v/>
      </c>
      <c r="X34" t="str">
        <f t="shared" ref="X34:X61" si="20">IF(E34="","",E34)</f>
        <v/>
      </c>
      <c r="Y34" t="str">
        <f t="shared" ref="Y34:Y61" si="21">IF(F34="","",F34)</f>
        <v/>
      </c>
      <c r="Z34" t="str">
        <f t="shared" ref="Z34:Z61" si="22">IF(G34="","",G34)</f>
        <v/>
      </c>
      <c r="AA34" t="str">
        <f t="shared" ref="AA34:AA61" si="23">IF(H34="","",H34)</f>
        <v/>
      </c>
      <c r="AB34" t="str">
        <f t="shared" ref="AB34:AB61" si="24">IF(I34="","",I34)</f>
        <v/>
      </c>
      <c r="AC34" t="str">
        <f t="shared" ref="AC34:AC61" si="25">IF(J34="","",J34)</f>
        <v/>
      </c>
      <c r="AD34" t="str">
        <f t="shared" ref="AD34:AD61" si="26">IF(K34="","",K34)</f>
        <v/>
      </c>
      <c r="AE34" t="str">
        <f t="shared" ref="AE34:AE61" si="27">IF(L34="","",L34)</f>
        <v/>
      </c>
      <c r="AF34" t="str">
        <f t="shared" ref="AF34:AF61" si="28">IF(M34="","",M34)</f>
        <v/>
      </c>
      <c r="AG34" t="str">
        <f t="shared" ref="AG34:AG61" si="29">IF(N34="","",N34)</f>
        <v/>
      </c>
      <c r="AH34" t="str">
        <f t="shared" ref="AH34:AH61" si="30">IF(O34="","",O34)</f>
        <v/>
      </c>
      <c r="AI34" t="str">
        <f t="shared" ref="AI34:AI61" si="31">IF(P34="","",P34)</f>
        <v/>
      </c>
      <c r="AJ34" t="str">
        <f t="shared" ref="AJ34:AJ61" si="32">IF(Q34="","",Q34)</f>
        <v/>
      </c>
      <c r="AK34" t="str">
        <f t="shared" ref="AK34:AK61" si="33">IF(R34="Sim","true",IF(R34="Não","false",""))</f>
        <v/>
      </c>
    </row>
    <row r="35" spans="20:37" x14ac:dyDescent="0.35">
      <c r="T35" t="str">
        <f t="shared" si="17"/>
        <v/>
      </c>
      <c r="U35" t="str">
        <f t="shared" si="18"/>
        <v/>
      </c>
      <c r="V35" t="str">
        <f t="shared" si="19"/>
        <v/>
      </c>
      <c r="W35" t="str">
        <f>IFERROR(INDEX(Listas!$AC$2:$AC$4,MATCH(D35,Listas!$AB$2:$AB$4,0)),"")</f>
        <v/>
      </c>
      <c r="X35" t="str">
        <f t="shared" si="20"/>
        <v/>
      </c>
      <c r="Y35" t="str">
        <f t="shared" si="21"/>
        <v/>
      </c>
      <c r="Z35" t="str">
        <f t="shared" si="22"/>
        <v/>
      </c>
      <c r="AA35" t="str">
        <f t="shared" si="23"/>
        <v/>
      </c>
      <c r="AB35" t="str">
        <f t="shared" si="24"/>
        <v/>
      </c>
      <c r="AC35" t="str">
        <f t="shared" si="25"/>
        <v/>
      </c>
      <c r="AD35" t="str">
        <f t="shared" si="26"/>
        <v/>
      </c>
      <c r="AE35" t="str">
        <f t="shared" si="27"/>
        <v/>
      </c>
      <c r="AF35" t="str">
        <f t="shared" si="28"/>
        <v/>
      </c>
      <c r="AG35" t="str">
        <f t="shared" si="29"/>
        <v/>
      </c>
      <c r="AH35" t="str">
        <f t="shared" si="30"/>
        <v/>
      </c>
      <c r="AI35" t="str">
        <f t="shared" si="31"/>
        <v/>
      </c>
      <c r="AJ35" t="str">
        <f t="shared" si="32"/>
        <v/>
      </c>
      <c r="AK35" t="str">
        <f t="shared" si="33"/>
        <v/>
      </c>
    </row>
    <row r="36" spans="20:37" x14ac:dyDescent="0.35">
      <c r="T36" t="str">
        <f t="shared" si="17"/>
        <v/>
      </c>
      <c r="U36" t="str">
        <f t="shared" si="18"/>
        <v/>
      </c>
      <c r="V36" t="str">
        <f t="shared" si="19"/>
        <v/>
      </c>
      <c r="W36" t="str">
        <f>IFERROR(INDEX(Listas!$AC$2:$AC$4,MATCH(D36,Listas!$AB$2:$AB$4,0)),"")</f>
        <v/>
      </c>
      <c r="X36" t="str">
        <f t="shared" si="20"/>
        <v/>
      </c>
      <c r="Y36" t="str">
        <f t="shared" si="21"/>
        <v/>
      </c>
      <c r="Z36" t="str">
        <f t="shared" si="22"/>
        <v/>
      </c>
      <c r="AA36" t="str">
        <f t="shared" si="23"/>
        <v/>
      </c>
      <c r="AB36" t="str">
        <f t="shared" si="24"/>
        <v/>
      </c>
      <c r="AC36" t="str">
        <f t="shared" si="25"/>
        <v/>
      </c>
      <c r="AD36" t="str">
        <f t="shared" si="26"/>
        <v/>
      </c>
      <c r="AE36" t="str">
        <f t="shared" si="27"/>
        <v/>
      </c>
      <c r="AF36" t="str">
        <f t="shared" si="28"/>
        <v/>
      </c>
      <c r="AG36" t="str">
        <f t="shared" si="29"/>
        <v/>
      </c>
      <c r="AH36" t="str">
        <f t="shared" si="30"/>
        <v/>
      </c>
      <c r="AI36" t="str">
        <f t="shared" si="31"/>
        <v/>
      </c>
      <c r="AJ36" t="str">
        <f t="shared" si="32"/>
        <v/>
      </c>
      <c r="AK36" t="str">
        <f t="shared" si="33"/>
        <v/>
      </c>
    </row>
    <row r="37" spans="20:37" x14ac:dyDescent="0.35">
      <c r="T37" t="str">
        <f t="shared" si="17"/>
        <v/>
      </c>
      <c r="U37" t="str">
        <f t="shared" si="18"/>
        <v/>
      </c>
      <c r="V37" t="str">
        <f t="shared" si="19"/>
        <v/>
      </c>
      <c r="W37" t="str">
        <f>IFERROR(INDEX(Listas!$AC$2:$AC$4,MATCH(D37,Listas!$AB$2:$AB$4,0)),"")</f>
        <v/>
      </c>
      <c r="X37" t="str">
        <f t="shared" si="20"/>
        <v/>
      </c>
      <c r="Y37" t="str">
        <f t="shared" si="21"/>
        <v/>
      </c>
      <c r="Z37" t="str">
        <f t="shared" si="22"/>
        <v/>
      </c>
      <c r="AA37" t="str">
        <f t="shared" si="23"/>
        <v/>
      </c>
      <c r="AB37" t="str">
        <f t="shared" si="24"/>
        <v/>
      </c>
      <c r="AC37" t="str">
        <f t="shared" si="25"/>
        <v/>
      </c>
      <c r="AD37" t="str">
        <f t="shared" si="26"/>
        <v/>
      </c>
      <c r="AE37" t="str">
        <f t="shared" si="27"/>
        <v/>
      </c>
      <c r="AF37" t="str">
        <f t="shared" si="28"/>
        <v/>
      </c>
      <c r="AG37" t="str">
        <f t="shared" si="29"/>
        <v/>
      </c>
      <c r="AH37" t="str">
        <f t="shared" si="30"/>
        <v/>
      </c>
      <c r="AI37" t="str">
        <f t="shared" si="31"/>
        <v/>
      </c>
      <c r="AJ37" t="str">
        <f t="shared" si="32"/>
        <v/>
      </c>
      <c r="AK37" t="str">
        <f t="shared" si="33"/>
        <v/>
      </c>
    </row>
    <row r="38" spans="20:37" x14ac:dyDescent="0.35">
      <c r="T38" t="str">
        <f t="shared" si="17"/>
        <v/>
      </c>
      <c r="U38" t="str">
        <f t="shared" si="18"/>
        <v/>
      </c>
      <c r="V38" t="str">
        <f t="shared" si="19"/>
        <v/>
      </c>
      <c r="W38" t="str">
        <f>IFERROR(INDEX(Listas!$AC$2:$AC$4,MATCH(D38,Listas!$AB$2:$AB$4,0)),"")</f>
        <v/>
      </c>
      <c r="X38" t="str">
        <f t="shared" si="20"/>
        <v/>
      </c>
      <c r="Y38" t="str">
        <f t="shared" si="21"/>
        <v/>
      </c>
      <c r="Z38" t="str">
        <f t="shared" si="22"/>
        <v/>
      </c>
      <c r="AA38" t="str">
        <f t="shared" si="23"/>
        <v/>
      </c>
      <c r="AB38" t="str">
        <f t="shared" si="24"/>
        <v/>
      </c>
      <c r="AC38" t="str">
        <f t="shared" si="25"/>
        <v/>
      </c>
      <c r="AD38" t="str">
        <f t="shared" si="26"/>
        <v/>
      </c>
      <c r="AE38" t="str">
        <f t="shared" si="27"/>
        <v/>
      </c>
      <c r="AF38" t="str">
        <f t="shared" si="28"/>
        <v/>
      </c>
      <c r="AG38" t="str">
        <f t="shared" si="29"/>
        <v/>
      </c>
      <c r="AH38" t="str">
        <f t="shared" si="30"/>
        <v/>
      </c>
      <c r="AI38" t="str">
        <f t="shared" si="31"/>
        <v/>
      </c>
      <c r="AJ38" t="str">
        <f t="shared" si="32"/>
        <v/>
      </c>
      <c r="AK38" t="str">
        <f t="shared" si="33"/>
        <v/>
      </c>
    </row>
    <row r="39" spans="20:37" x14ac:dyDescent="0.35">
      <c r="T39" t="str">
        <f t="shared" si="17"/>
        <v/>
      </c>
      <c r="U39" t="str">
        <f t="shared" si="18"/>
        <v/>
      </c>
      <c r="V39" t="str">
        <f t="shared" si="19"/>
        <v/>
      </c>
      <c r="W39" t="str">
        <f>IFERROR(INDEX(Listas!$AC$2:$AC$4,MATCH(D39,Listas!$AB$2:$AB$4,0)),"")</f>
        <v/>
      </c>
      <c r="X39" t="str">
        <f t="shared" si="20"/>
        <v/>
      </c>
      <c r="Y39" t="str">
        <f t="shared" si="21"/>
        <v/>
      </c>
      <c r="Z39" t="str">
        <f t="shared" si="22"/>
        <v/>
      </c>
      <c r="AA39" t="str">
        <f t="shared" si="23"/>
        <v/>
      </c>
      <c r="AB39" t="str">
        <f t="shared" si="24"/>
        <v/>
      </c>
      <c r="AC39" t="str">
        <f t="shared" si="25"/>
        <v/>
      </c>
      <c r="AD39" t="str">
        <f t="shared" si="26"/>
        <v/>
      </c>
      <c r="AE39" t="str">
        <f t="shared" si="27"/>
        <v/>
      </c>
      <c r="AF39" t="str">
        <f t="shared" si="28"/>
        <v/>
      </c>
      <c r="AG39" t="str">
        <f t="shared" si="29"/>
        <v/>
      </c>
      <c r="AH39" t="str">
        <f t="shared" si="30"/>
        <v/>
      </c>
      <c r="AI39" t="str">
        <f t="shared" si="31"/>
        <v/>
      </c>
      <c r="AJ39" t="str">
        <f t="shared" si="32"/>
        <v/>
      </c>
      <c r="AK39" t="str">
        <f t="shared" si="33"/>
        <v/>
      </c>
    </row>
    <row r="40" spans="20:37" x14ac:dyDescent="0.35">
      <c r="T40" t="str">
        <f t="shared" si="17"/>
        <v/>
      </c>
      <c r="U40" t="str">
        <f t="shared" si="18"/>
        <v/>
      </c>
      <c r="V40" t="str">
        <f t="shared" si="19"/>
        <v/>
      </c>
      <c r="W40" t="str">
        <f>IFERROR(INDEX(Listas!$AC$2:$AC$4,MATCH(D40,Listas!$AB$2:$AB$4,0)),"")</f>
        <v/>
      </c>
      <c r="X40" t="str">
        <f t="shared" si="20"/>
        <v/>
      </c>
      <c r="Y40" t="str">
        <f t="shared" si="21"/>
        <v/>
      </c>
      <c r="Z40" t="str">
        <f t="shared" si="22"/>
        <v/>
      </c>
      <c r="AA40" t="str">
        <f t="shared" si="23"/>
        <v/>
      </c>
      <c r="AB40" t="str">
        <f t="shared" si="24"/>
        <v/>
      </c>
      <c r="AC40" t="str">
        <f t="shared" si="25"/>
        <v/>
      </c>
      <c r="AD40" t="str">
        <f t="shared" si="26"/>
        <v/>
      </c>
      <c r="AE40" t="str">
        <f t="shared" si="27"/>
        <v/>
      </c>
      <c r="AF40" t="str">
        <f t="shared" si="28"/>
        <v/>
      </c>
      <c r="AG40" t="str">
        <f t="shared" si="29"/>
        <v/>
      </c>
      <c r="AH40" t="str">
        <f t="shared" si="30"/>
        <v/>
      </c>
      <c r="AI40" t="str">
        <f t="shared" si="31"/>
        <v/>
      </c>
      <c r="AJ40" t="str">
        <f t="shared" si="32"/>
        <v/>
      </c>
      <c r="AK40" t="str">
        <f t="shared" si="33"/>
        <v/>
      </c>
    </row>
    <row r="41" spans="20:37" x14ac:dyDescent="0.35">
      <c r="T41" t="str">
        <f t="shared" si="17"/>
        <v/>
      </c>
      <c r="U41" t="str">
        <f t="shared" si="18"/>
        <v/>
      </c>
      <c r="V41" t="str">
        <f t="shared" si="19"/>
        <v/>
      </c>
      <c r="W41" t="str">
        <f>IFERROR(INDEX(Listas!$AC$2:$AC$4,MATCH(D41,Listas!$AB$2:$AB$4,0)),"")</f>
        <v/>
      </c>
      <c r="X41" t="str">
        <f t="shared" si="20"/>
        <v/>
      </c>
      <c r="Y41" t="str">
        <f t="shared" si="21"/>
        <v/>
      </c>
      <c r="Z41" t="str">
        <f t="shared" si="22"/>
        <v/>
      </c>
      <c r="AA41" t="str">
        <f t="shared" si="23"/>
        <v/>
      </c>
      <c r="AB41" t="str">
        <f t="shared" si="24"/>
        <v/>
      </c>
      <c r="AC41" t="str">
        <f t="shared" si="25"/>
        <v/>
      </c>
      <c r="AD41" t="str">
        <f t="shared" si="26"/>
        <v/>
      </c>
      <c r="AE41" t="str">
        <f t="shared" si="27"/>
        <v/>
      </c>
      <c r="AF41" t="str">
        <f t="shared" si="28"/>
        <v/>
      </c>
      <c r="AG41" t="str">
        <f t="shared" si="29"/>
        <v/>
      </c>
      <c r="AH41" t="str">
        <f t="shared" si="30"/>
        <v/>
      </c>
      <c r="AI41" t="str">
        <f t="shared" si="31"/>
        <v/>
      </c>
      <c r="AJ41" t="str">
        <f t="shared" si="32"/>
        <v/>
      </c>
      <c r="AK41" t="str">
        <f t="shared" si="33"/>
        <v/>
      </c>
    </row>
    <row r="42" spans="20:37" x14ac:dyDescent="0.35">
      <c r="T42" t="str">
        <f t="shared" si="17"/>
        <v/>
      </c>
      <c r="U42" t="str">
        <f t="shared" si="18"/>
        <v/>
      </c>
      <c r="V42" t="str">
        <f t="shared" si="19"/>
        <v/>
      </c>
      <c r="W42" t="str">
        <f>IFERROR(INDEX(Listas!$AC$2:$AC$4,MATCH(D42,Listas!$AB$2:$AB$4,0)),"")</f>
        <v/>
      </c>
      <c r="X42" t="str">
        <f t="shared" si="20"/>
        <v/>
      </c>
      <c r="Y42" t="str">
        <f t="shared" si="21"/>
        <v/>
      </c>
      <c r="Z42" t="str">
        <f t="shared" si="22"/>
        <v/>
      </c>
      <c r="AA42" t="str">
        <f t="shared" si="23"/>
        <v/>
      </c>
      <c r="AB42" t="str">
        <f t="shared" si="24"/>
        <v/>
      </c>
      <c r="AC42" t="str">
        <f t="shared" si="25"/>
        <v/>
      </c>
      <c r="AD42" t="str">
        <f t="shared" si="26"/>
        <v/>
      </c>
      <c r="AE42" t="str">
        <f t="shared" si="27"/>
        <v/>
      </c>
      <c r="AF42" t="str">
        <f t="shared" si="28"/>
        <v/>
      </c>
      <c r="AG42" t="str">
        <f t="shared" si="29"/>
        <v/>
      </c>
      <c r="AH42" t="str">
        <f t="shared" si="30"/>
        <v/>
      </c>
      <c r="AI42" t="str">
        <f t="shared" si="31"/>
        <v/>
      </c>
      <c r="AJ42" t="str">
        <f t="shared" si="32"/>
        <v/>
      </c>
      <c r="AK42" t="str">
        <f t="shared" si="33"/>
        <v/>
      </c>
    </row>
    <row r="43" spans="20:37" x14ac:dyDescent="0.35">
      <c r="T43" t="str">
        <f t="shared" si="17"/>
        <v/>
      </c>
      <c r="U43" t="str">
        <f t="shared" si="18"/>
        <v/>
      </c>
      <c r="V43" t="str">
        <f t="shared" si="19"/>
        <v/>
      </c>
      <c r="W43" t="str">
        <f>IFERROR(INDEX(Listas!$AC$2:$AC$4,MATCH(D43,Listas!$AB$2:$AB$4,0)),"")</f>
        <v/>
      </c>
      <c r="X43" t="str">
        <f t="shared" si="20"/>
        <v/>
      </c>
      <c r="Y43" t="str">
        <f t="shared" si="21"/>
        <v/>
      </c>
      <c r="Z43" t="str">
        <f t="shared" si="22"/>
        <v/>
      </c>
      <c r="AA43" t="str">
        <f t="shared" si="23"/>
        <v/>
      </c>
      <c r="AB43" t="str">
        <f t="shared" si="24"/>
        <v/>
      </c>
      <c r="AC43" t="str">
        <f t="shared" si="25"/>
        <v/>
      </c>
      <c r="AD43" t="str">
        <f t="shared" si="26"/>
        <v/>
      </c>
      <c r="AE43" t="str">
        <f t="shared" si="27"/>
        <v/>
      </c>
      <c r="AF43" t="str">
        <f t="shared" si="28"/>
        <v/>
      </c>
      <c r="AG43" t="str">
        <f t="shared" si="29"/>
        <v/>
      </c>
      <c r="AH43" t="str">
        <f t="shared" si="30"/>
        <v/>
      </c>
      <c r="AI43" t="str">
        <f t="shared" si="31"/>
        <v/>
      </c>
      <c r="AJ43" t="str">
        <f t="shared" si="32"/>
        <v/>
      </c>
      <c r="AK43" t="str">
        <f t="shared" si="33"/>
        <v/>
      </c>
    </row>
    <row r="44" spans="20:37" x14ac:dyDescent="0.35">
      <c r="T44" t="str">
        <f t="shared" si="17"/>
        <v/>
      </c>
      <c r="U44" t="str">
        <f t="shared" si="18"/>
        <v/>
      </c>
      <c r="V44" t="str">
        <f t="shared" si="19"/>
        <v/>
      </c>
      <c r="W44" t="str">
        <f>IFERROR(INDEX(Listas!$AC$2:$AC$4,MATCH(D44,Listas!$AB$2:$AB$4,0)),"")</f>
        <v/>
      </c>
      <c r="X44" t="str">
        <f t="shared" si="20"/>
        <v/>
      </c>
      <c r="Y44" t="str">
        <f t="shared" si="21"/>
        <v/>
      </c>
      <c r="Z44" t="str">
        <f t="shared" si="22"/>
        <v/>
      </c>
      <c r="AA44" t="str">
        <f t="shared" si="23"/>
        <v/>
      </c>
      <c r="AB44" t="str">
        <f t="shared" si="24"/>
        <v/>
      </c>
      <c r="AC44" t="str">
        <f t="shared" si="25"/>
        <v/>
      </c>
      <c r="AD44" t="str">
        <f t="shared" si="26"/>
        <v/>
      </c>
      <c r="AE44" t="str">
        <f t="shared" si="27"/>
        <v/>
      </c>
      <c r="AF44" t="str">
        <f t="shared" si="28"/>
        <v/>
      </c>
      <c r="AG44" t="str">
        <f t="shared" si="29"/>
        <v/>
      </c>
      <c r="AH44" t="str">
        <f t="shared" si="30"/>
        <v/>
      </c>
      <c r="AI44" t="str">
        <f t="shared" si="31"/>
        <v/>
      </c>
      <c r="AJ44" t="str">
        <f t="shared" si="32"/>
        <v/>
      </c>
      <c r="AK44" t="str">
        <f t="shared" si="33"/>
        <v/>
      </c>
    </row>
    <row r="45" spans="20:37" x14ac:dyDescent="0.35">
      <c r="T45" t="str">
        <f t="shared" si="17"/>
        <v/>
      </c>
      <c r="U45" t="str">
        <f t="shared" si="18"/>
        <v/>
      </c>
      <c r="V45" t="str">
        <f t="shared" si="19"/>
        <v/>
      </c>
      <c r="W45" t="str">
        <f>IFERROR(INDEX(Listas!$AC$2:$AC$4,MATCH(D45,Listas!$AB$2:$AB$4,0)),"")</f>
        <v/>
      </c>
      <c r="X45" t="str">
        <f t="shared" si="20"/>
        <v/>
      </c>
      <c r="Y45" t="str">
        <f t="shared" si="21"/>
        <v/>
      </c>
      <c r="Z45" t="str">
        <f t="shared" si="22"/>
        <v/>
      </c>
      <c r="AA45" t="str">
        <f t="shared" si="23"/>
        <v/>
      </c>
      <c r="AB45" t="str">
        <f t="shared" si="24"/>
        <v/>
      </c>
      <c r="AC45" t="str">
        <f t="shared" si="25"/>
        <v/>
      </c>
      <c r="AD45" t="str">
        <f t="shared" si="26"/>
        <v/>
      </c>
      <c r="AE45" t="str">
        <f t="shared" si="27"/>
        <v/>
      </c>
      <c r="AF45" t="str">
        <f t="shared" si="28"/>
        <v/>
      </c>
      <c r="AG45" t="str">
        <f t="shared" si="29"/>
        <v/>
      </c>
      <c r="AH45" t="str">
        <f t="shared" si="30"/>
        <v/>
      </c>
      <c r="AI45" t="str">
        <f t="shared" si="31"/>
        <v/>
      </c>
      <c r="AJ45" t="str">
        <f t="shared" si="32"/>
        <v/>
      </c>
      <c r="AK45" t="str">
        <f t="shared" si="33"/>
        <v/>
      </c>
    </row>
    <row r="46" spans="20:37" x14ac:dyDescent="0.35">
      <c r="T46" t="str">
        <f t="shared" si="17"/>
        <v/>
      </c>
      <c r="U46" t="str">
        <f t="shared" si="18"/>
        <v/>
      </c>
      <c r="V46" t="str">
        <f t="shared" si="19"/>
        <v/>
      </c>
      <c r="W46" t="str">
        <f>IFERROR(INDEX(Listas!$AC$2:$AC$4,MATCH(D46,Listas!$AB$2:$AB$4,0)),"")</f>
        <v/>
      </c>
      <c r="X46" t="str">
        <f t="shared" si="20"/>
        <v/>
      </c>
      <c r="Y46" t="str">
        <f t="shared" si="21"/>
        <v/>
      </c>
      <c r="Z46" t="str">
        <f t="shared" si="22"/>
        <v/>
      </c>
      <c r="AA46" t="str">
        <f t="shared" si="23"/>
        <v/>
      </c>
      <c r="AB46" t="str">
        <f t="shared" si="24"/>
        <v/>
      </c>
      <c r="AC46" t="str">
        <f t="shared" si="25"/>
        <v/>
      </c>
      <c r="AD46" t="str">
        <f t="shared" si="26"/>
        <v/>
      </c>
      <c r="AE46" t="str">
        <f t="shared" si="27"/>
        <v/>
      </c>
      <c r="AF46" t="str">
        <f t="shared" si="28"/>
        <v/>
      </c>
      <c r="AG46" t="str">
        <f t="shared" si="29"/>
        <v/>
      </c>
      <c r="AH46" t="str">
        <f t="shared" si="30"/>
        <v/>
      </c>
      <c r="AI46" t="str">
        <f t="shared" si="31"/>
        <v/>
      </c>
      <c r="AJ46" t="str">
        <f t="shared" si="32"/>
        <v/>
      </c>
      <c r="AK46" t="str">
        <f t="shared" si="33"/>
        <v/>
      </c>
    </row>
    <row r="47" spans="20:37" x14ac:dyDescent="0.35">
      <c r="T47" t="str">
        <f t="shared" si="17"/>
        <v/>
      </c>
      <c r="U47" t="str">
        <f t="shared" si="18"/>
        <v/>
      </c>
      <c r="V47" t="str">
        <f t="shared" si="19"/>
        <v/>
      </c>
      <c r="W47" t="str">
        <f>IFERROR(INDEX(Listas!$AC$2:$AC$4,MATCH(D47,Listas!$AB$2:$AB$4,0)),"")</f>
        <v/>
      </c>
      <c r="X47" t="str">
        <f t="shared" si="20"/>
        <v/>
      </c>
      <c r="Y47" t="str">
        <f t="shared" si="21"/>
        <v/>
      </c>
      <c r="Z47" t="str">
        <f t="shared" si="22"/>
        <v/>
      </c>
      <c r="AA47" t="str">
        <f t="shared" si="23"/>
        <v/>
      </c>
      <c r="AB47" t="str">
        <f t="shared" si="24"/>
        <v/>
      </c>
      <c r="AC47" t="str">
        <f t="shared" si="25"/>
        <v/>
      </c>
      <c r="AD47" t="str">
        <f t="shared" si="26"/>
        <v/>
      </c>
      <c r="AE47" t="str">
        <f t="shared" si="27"/>
        <v/>
      </c>
      <c r="AF47" t="str">
        <f t="shared" si="28"/>
        <v/>
      </c>
      <c r="AG47" t="str">
        <f t="shared" si="29"/>
        <v/>
      </c>
      <c r="AH47" t="str">
        <f t="shared" si="30"/>
        <v/>
      </c>
      <c r="AI47" t="str">
        <f t="shared" si="31"/>
        <v/>
      </c>
      <c r="AJ47" t="str">
        <f t="shared" si="32"/>
        <v/>
      </c>
      <c r="AK47" t="str">
        <f t="shared" si="33"/>
        <v/>
      </c>
    </row>
    <row r="48" spans="20:37" x14ac:dyDescent="0.35">
      <c r="T48" t="str">
        <f t="shared" si="17"/>
        <v/>
      </c>
      <c r="U48" t="str">
        <f t="shared" si="18"/>
        <v/>
      </c>
      <c r="V48" t="str">
        <f t="shared" si="19"/>
        <v/>
      </c>
      <c r="W48" t="str">
        <f>IFERROR(INDEX(Listas!$AC$2:$AC$4,MATCH(D48,Listas!$AB$2:$AB$4,0)),"")</f>
        <v/>
      </c>
      <c r="X48" t="str">
        <f t="shared" si="20"/>
        <v/>
      </c>
      <c r="Y48" t="str">
        <f t="shared" si="21"/>
        <v/>
      </c>
      <c r="Z48" t="str">
        <f t="shared" si="22"/>
        <v/>
      </c>
      <c r="AA48" t="str">
        <f t="shared" si="23"/>
        <v/>
      </c>
      <c r="AB48" t="str">
        <f t="shared" si="24"/>
        <v/>
      </c>
      <c r="AC48" t="str">
        <f t="shared" si="25"/>
        <v/>
      </c>
      <c r="AD48" t="str">
        <f t="shared" si="26"/>
        <v/>
      </c>
      <c r="AE48" t="str">
        <f t="shared" si="27"/>
        <v/>
      </c>
      <c r="AF48" t="str">
        <f t="shared" si="28"/>
        <v/>
      </c>
      <c r="AG48" t="str">
        <f t="shared" si="29"/>
        <v/>
      </c>
      <c r="AH48" t="str">
        <f t="shared" si="30"/>
        <v/>
      </c>
      <c r="AI48" t="str">
        <f t="shared" si="31"/>
        <v/>
      </c>
      <c r="AJ48" t="str">
        <f t="shared" si="32"/>
        <v/>
      </c>
      <c r="AK48" t="str">
        <f t="shared" si="33"/>
        <v/>
      </c>
    </row>
    <row r="49" spans="20:37" x14ac:dyDescent="0.35">
      <c r="T49" t="str">
        <f t="shared" si="17"/>
        <v/>
      </c>
      <c r="U49" t="str">
        <f t="shared" si="18"/>
        <v/>
      </c>
      <c r="V49" t="str">
        <f t="shared" si="19"/>
        <v/>
      </c>
      <c r="W49" t="str">
        <f>IFERROR(INDEX(Listas!$AC$2:$AC$4,MATCH(D49,Listas!$AB$2:$AB$4,0)),"")</f>
        <v/>
      </c>
      <c r="X49" t="str">
        <f t="shared" si="20"/>
        <v/>
      </c>
      <c r="Y49" t="str">
        <f t="shared" si="21"/>
        <v/>
      </c>
      <c r="Z49" t="str">
        <f t="shared" si="22"/>
        <v/>
      </c>
      <c r="AA49" t="str">
        <f t="shared" si="23"/>
        <v/>
      </c>
      <c r="AB49" t="str">
        <f t="shared" si="24"/>
        <v/>
      </c>
      <c r="AC49" t="str">
        <f t="shared" si="25"/>
        <v/>
      </c>
      <c r="AD49" t="str">
        <f t="shared" si="26"/>
        <v/>
      </c>
      <c r="AE49" t="str">
        <f t="shared" si="27"/>
        <v/>
      </c>
      <c r="AF49" t="str">
        <f t="shared" si="28"/>
        <v/>
      </c>
      <c r="AG49" t="str">
        <f t="shared" si="29"/>
        <v/>
      </c>
      <c r="AH49" t="str">
        <f t="shared" si="30"/>
        <v/>
      </c>
      <c r="AI49" t="str">
        <f t="shared" si="31"/>
        <v/>
      </c>
      <c r="AJ49" t="str">
        <f t="shared" si="32"/>
        <v/>
      </c>
      <c r="AK49" t="str">
        <f t="shared" si="33"/>
        <v/>
      </c>
    </row>
    <row r="50" spans="20:37" x14ac:dyDescent="0.35">
      <c r="T50" t="str">
        <f t="shared" si="17"/>
        <v/>
      </c>
      <c r="U50" t="str">
        <f t="shared" si="18"/>
        <v/>
      </c>
      <c r="V50" t="str">
        <f t="shared" si="19"/>
        <v/>
      </c>
      <c r="W50" t="str">
        <f>IFERROR(INDEX(Listas!$AC$2:$AC$4,MATCH(D50,Listas!$AB$2:$AB$4,0)),"")</f>
        <v/>
      </c>
      <c r="X50" t="str">
        <f t="shared" si="20"/>
        <v/>
      </c>
      <c r="Y50" t="str">
        <f t="shared" si="21"/>
        <v/>
      </c>
      <c r="Z50" t="str">
        <f t="shared" si="22"/>
        <v/>
      </c>
      <c r="AA50" t="str">
        <f t="shared" si="23"/>
        <v/>
      </c>
      <c r="AB50" t="str">
        <f t="shared" si="24"/>
        <v/>
      </c>
      <c r="AC50" t="str">
        <f t="shared" si="25"/>
        <v/>
      </c>
      <c r="AD50" t="str">
        <f t="shared" si="26"/>
        <v/>
      </c>
      <c r="AE50" t="str">
        <f t="shared" si="27"/>
        <v/>
      </c>
      <c r="AF50" t="str">
        <f t="shared" si="28"/>
        <v/>
      </c>
      <c r="AG50" t="str">
        <f t="shared" si="29"/>
        <v/>
      </c>
      <c r="AH50" t="str">
        <f t="shared" si="30"/>
        <v/>
      </c>
      <c r="AI50" t="str">
        <f t="shared" si="31"/>
        <v/>
      </c>
      <c r="AJ50" t="str">
        <f t="shared" si="32"/>
        <v/>
      </c>
      <c r="AK50" t="str">
        <f t="shared" si="33"/>
        <v/>
      </c>
    </row>
    <row r="51" spans="20:37" x14ac:dyDescent="0.35">
      <c r="T51" t="str">
        <f t="shared" si="17"/>
        <v/>
      </c>
      <c r="U51" t="str">
        <f t="shared" si="18"/>
        <v/>
      </c>
      <c r="V51" t="str">
        <f t="shared" si="19"/>
        <v/>
      </c>
      <c r="W51" t="str">
        <f>IFERROR(INDEX(Listas!$AC$2:$AC$4,MATCH(D51,Listas!$AB$2:$AB$4,0)),"")</f>
        <v/>
      </c>
      <c r="X51" t="str">
        <f t="shared" si="20"/>
        <v/>
      </c>
      <c r="Y51" t="str">
        <f t="shared" si="21"/>
        <v/>
      </c>
      <c r="Z51" t="str">
        <f t="shared" si="22"/>
        <v/>
      </c>
      <c r="AA51" t="str">
        <f t="shared" si="23"/>
        <v/>
      </c>
      <c r="AB51" t="str">
        <f t="shared" si="24"/>
        <v/>
      </c>
      <c r="AC51" t="str">
        <f t="shared" si="25"/>
        <v/>
      </c>
      <c r="AD51" t="str">
        <f t="shared" si="26"/>
        <v/>
      </c>
      <c r="AE51" t="str">
        <f t="shared" si="27"/>
        <v/>
      </c>
      <c r="AF51" t="str">
        <f t="shared" si="28"/>
        <v/>
      </c>
      <c r="AG51" t="str">
        <f t="shared" si="29"/>
        <v/>
      </c>
      <c r="AH51" t="str">
        <f t="shared" si="30"/>
        <v/>
      </c>
      <c r="AI51" t="str">
        <f t="shared" si="31"/>
        <v/>
      </c>
      <c r="AJ51" t="str">
        <f t="shared" si="32"/>
        <v/>
      </c>
      <c r="AK51" t="str">
        <f t="shared" si="33"/>
        <v/>
      </c>
    </row>
    <row r="52" spans="20:37" x14ac:dyDescent="0.35">
      <c r="T52" t="str">
        <f t="shared" si="17"/>
        <v/>
      </c>
      <c r="U52" t="str">
        <f t="shared" si="18"/>
        <v/>
      </c>
      <c r="V52" t="str">
        <f t="shared" si="19"/>
        <v/>
      </c>
      <c r="W52" t="str">
        <f>IFERROR(INDEX(Listas!$AC$2:$AC$4,MATCH(D52,Listas!$AB$2:$AB$4,0)),"")</f>
        <v/>
      </c>
      <c r="X52" t="str">
        <f t="shared" si="20"/>
        <v/>
      </c>
      <c r="Y52" t="str">
        <f t="shared" si="21"/>
        <v/>
      </c>
      <c r="Z52" t="str">
        <f t="shared" si="22"/>
        <v/>
      </c>
      <c r="AA52" t="str">
        <f t="shared" si="23"/>
        <v/>
      </c>
      <c r="AB52" t="str">
        <f t="shared" si="24"/>
        <v/>
      </c>
      <c r="AC52" t="str">
        <f t="shared" si="25"/>
        <v/>
      </c>
      <c r="AD52" t="str">
        <f t="shared" si="26"/>
        <v/>
      </c>
      <c r="AE52" t="str">
        <f t="shared" si="27"/>
        <v/>
      </c>
      <c r="AF52" t="str">
        <f t="shared" si="28"/>
        <v/>
      </c>
      <c r="AG52" t="str">
        <f t="shared" si="29"/>
        <v/>
      </c>
      <c r="AH52" t="str">
        <f t="shared" si="30"/>
        <v/>
      </c>
      <c r="AI52" t="str">
        <f t="shared" si="31"/>
        <v/>
      </c>
      <c r="AJ52" t="str">
        <f t="shared" si="32"/>
        <v/>
      </c>
      <c r="AK52" t="str">
        <f t="shared" si="33"/>
        <v/>
      </c>
    </row>
    <row r="53" spans="20:37" x14ac:dyDescent="0.35">
      <c r="T53" t="str">
        <f t="shared" si="17"/>
        <v/>
      </c>
      <c r="U53" t="str">
        <f t="shared" si="18"/>
        <v/>
      </c>
      <c r="V53" t="str">
        <f t="shared" si="19"/>
        <v/>
      </c>
      <c r="W53" t="str">
        <f>IFERROR(INDEX(Listas!$AC$2:$AC$4,MATCH(D53,Listas!$AB$2:$AB$4,0)),"")</f>
        <v/>
      </c>
      <c r="X53" t="str">
        <f t="shared" si="20"/>
        <v/>
      </c>
      <c r="Y53" t="str">
        <f t="shared" si="21"/>
        <v/>
      </c>
      <c r="Z53" t="str">
        <f t="shared" si="22"/>
        <v/>
      </c>
      <c r="AA53" t="str">
        <f t="shared" si="23"/>
        <v/>
      </c>
      <c r="AB53" t="str">
        <f t="shared" si="24"/>
        <v/>
      </c>
      <c r="AC53" t="str">
        <f t="shared" si="25"/>
        <v/>
      </c>
      <c r="AD53" t="str">
        <f t="shared" si="26"/>
        <v/>
      </c>
      <c r="AE53" t="str">
        <f t="shared" si="27"/>
        <v/>
      </c>
      <c r="AF53" t="str">
        <f t="shared" si="28"/>
        <v/>
      </c>
      <c r="AG53" t="str">
        <f t="shared" si="29"/>
        <v/>
      </c>
      <c r="AH53" t="str">
        <f t="shared" si="30"/>
        <v/>
      </c>
      <c r="AI53" t="str">
        <f t="shared" si="31"/>
        <v/>
      </c>
      <c r="AJ53" t="str">
        <f t="shared" si="32"/>
        <v/>
      </c>
      <c r="AK53" t="str">
        <f t="shared" si="33"/>
        <v/>
      </c>
    </row>
    <row r="54" spans="20:37" x14ac:dyDescent="0.35">
      <c r="T54" t="str">
        <f t="shared" si="17"/>
        <v/>
      </c>
      <c r="U54" t="str">
        <f t="shared" si="18"/>
        <v/>
      </c>
      <c r="V54" t="str">
        <f t="shared" si="19"/>
        <v/>
      </c>
      <c r="W54" t="str">
        <f>IFERROR(INDEX(Listas!$AC$2:$AC$4,MATCH(D54,Listas!$AB$2:$AB$4,0)),"")</f>
        <v/>
      </c>
      <c r="X54" t="str">
        <f t="shared" si="20"/>
        <v/>
      </c>
      <c r="Y54" t="str">
        <f t="shared" si="21"/>
        <v/>
      </c>
      <c r="Z54" t="str">
        <f t="shared" si="22"/>
        <v/>
      </c>
      <c r="AA54" t="str">
        <f t="shared" si="23"/>
        <v/>
      </c>
      <c r="AB54" t="str">
        <f t="shared" si="24"/>
        <v/>
      </c>
      <c r="AC54" t="str">
        <f t="shared" si="25"/>
        <v/>
      </c>
      <c r="AD54" t="str">
        <f t="shared" si="26"/>
        <v/>
      </c>
      <c r="AE54" t="str">
        <f t="shared" si="27"/>
        <v/>
      </c>
      <c r="AF54" t="str">
        <f t="shared" si="28"/>
        <v/>
      </c>
      <c r="AG54" t="str">
        <f t="shared" si="29"/>
        <v/>
      </c>
      <c r="AH54" t="str">
        <f t="shared" si="30"/>
        <v/>
      </c>
      <c r="AI54" t="str">
        <f t="shared" si="31"/>
        <v/>
      </c>
      <c r="AJ54" t="str">
        <f t="shared" si="32"/>
        <v/>
      </c>
      <c r="AK54" t="str">
        <f t="shared" si="33"/>
        <v/>
      </c>
    </row>
    <row r="55" spans="20:37" x14ac:dyDescent="0.35">
      <c r="T55" t="str">
        <f t="shared" si="17"/>
        <v/>
      </c>
      <c r="U55" t="str">
        <f t="shared" si="18"/>
        <v/>
      </c>
      <c r="V55" t="str">
        <f t="shared" si="19"/>
        <v/>
      </c>
      <c r="W55" t="str">
        <f>IFERROR(INDEX(Listas!$AC$2:$AC$4,MATCH(D55,Listas!$AB$2:$AB$4,0)),"")</f>
        <v/>
      </c>
      <c r="X55" t="str">
        <f t="shared" si="20"/>
        <v/>
      </c>
      <c r="Y55" t="str">
        <f t="shared" si="21"/>
        <v/>
      </c>
      <c r="Z55" t="str">
        <f t="shared" si="22"/>
        <v/>
      </c>
      <c r="AA55" t="str">
        <f t="shared" si="23"/>
        <v/>
      </c>
      <c r="AB55" t="str">
        <f t="shared" si="24"/>
        <v/>
      </c>
      <c r="AC55" t="str">
        <f t="shared" si="25"/>
        <v/>
      </c>
      <c r="AD55" t="str">
        <f t="shared" si="26"/>
        <v/>
      </c>
      <c r="AE55" t="str">
        <f t="shared" si="27"/>
        <v/>
      </c>
      <c r="AF55" t="str">
        <f t="shared" si="28"/>
        <v/>
      </c>
      <c r="AG55" t="str">
        <f t="shared" si="29"/>
        <v/>
      </c>
      <c r="AH55" t="str">
        <f t="shared" si="30"/>
        <v/>
      </c>
      <c r="AI55" t="str">
        <f t="shared" si="31"/>
        <v/>
      </c>
      <c r="AJ55" t="str">
        <f t="shared" si="32"/>
        <v/>
      </c>
      <c r="AK55" t="str">
        <f t="shared" si="33"/>
        <v/>
      </c>
    </row>
    <row r="56" spans="20:37" x14ac:dyDescent="0.35">
      <c r="T56" t="str">
        <f t="shared" si="17"/>
        <v/>
      </c>
      <c r="U56" t="str">
        <f t="shared" si="18"/>
        <v/>
      </c>
      <c r="V56" t="str">
        <f t="shared" si="19"/>
        <v/>
      </c>
      <c r="W56" t="str">
        <f>IFERROR(INDEX(Listas!$AC$2:$AC$4,MATCH(D56,Listas!$AB$2:$AB$4,0)),"")</f>
        <v/>
      </c>
      <c r="X56" t="str">
        <f t="shared" si="20"/>
        <v/>
      </c>
      <c r="Y56" t="str">
        <f t="shared" si="21"/>
        <v/>
      </c>
      <c r="Z56" t="str">
        <f t="shared" si="22"/>
        <v/>
      </c>
      <c r="AA56" t="str">
        <f t="shared" si="23"/>
        <v/>
      </c>
      <c r="AB56" t="str">
        <f t="shared" si="24"/>
        <v/>
      </c>
      <c r="AC56" t="str">
        <f t="shared" si="25"/>
        <v/>
      </c>
      <c r="AD56" t="str">
        <f t="shared" si="26"/>
        <v/>
      </c>
      <c r="AE56" t="str">
        <f t="shared" si="27"/>
        <v/>
      </c>
      <c r="AF56" t="str">
        <f t="shared" si="28"/>
        <v/>
      </c>
      <c r="AG56" t="str">
        <f t="shared" si="29"/>
        <v/>
      </c>
      <c r="AH56" t="str">
        <f t="shared" si="30"/>
        <v/>
      </c>
      <c r="AI56" t="str">
        <f t="shared" si="31"/>
        <v/>
      </c>
      <c r="AJ56" t="str">
        <f t="shared" si="32"/>
        <v/>
      </c>
      <c r="AK56" t="str">
        <f t="shared" si="33"/>
        <v/>
      </c>
    </row>
    <row r="57" spans="20:37" x14ac:dyDescent="0.35">
      <c r="T57" t="str">
        <f t="shared" si="17"/>
        <v/>
      </c>
      <c r="U57" t="str">
        <f t="shared" si="18"/>
        <v/>
      </c>
      <c r="V57" t="str">
        <f t="shared" si="19"/>
        <v/>
      </c>
      <c r="W57" t="str">
        <f>IFERROR(INDEX(Listas!$AC$2:$AC$4,MATCH(D57,Listas!$AB$2:$AB$4,0)),"")</f>
        <v/>
      </c>
      <c r="X57" t="str">
        <f t="shared" si="20"/>
        <v/>
      </c>
      <c r="Y57" t="str">
        <f t="shared" si="21"/>
        <v/>
      </c>
      <c r="Z57" t="str">
        <f t="shared" si="22"/>
        <v/>
      </c>
      <c r="AA57" t="str">
        <f t="shared" si="23"/>
        <v/>
      </c>
      <c r="AB57" t="str">
        <f t="shared" si="24"/>
        <v/>
      </c>
      <c r="AC57" t="str">
        <f t="shared" si="25"/>
        <v/>
      </c>
      <c r="AD57" t="str">
        <f t="shared" si="26"/>
        <v/>
      </c>
      <c r="AE57" t="str">
        <f t="shared" si="27"/>
        <v/>
      </c>
      <c r="AF57" t="str">
        <f t="shared" si="28"/>
        <v/>
      </c>
      <c r="AG57" t="str">
        <f t="shared" si="29"/>
        <v/>
      </c>
      <c r="AH57" t="str">
        <f t="shared" si="30"/>
        <v/>
      </c>
      <c r="AI57" t="str">
        <f t="shared" si="31"/>
        <v/>
      </c>
      <c r="AJ57" t="str">
        <f t="shared" si="32"/>
        <v/>
      </c>
      <c r="AK57" t="str">
        <f t="shared" si="33"/>
        <v/>
      </c>
    </row>
    <row r="58" spans="20:37" x14ac:dyDescent="0.35">
      <c r="T58" t="str">
        <f t="shared" si="17"/>
        <v/>
      </c>
      <c r="U58" t="str">
        <f t="shared" si="18"/>
        <v/>
      </c>
      <c r="V58" t="str">
        <f t="shared" si="19"/>
        <v/>
      </c>
      <c r="W58" t="str">
        <f>IFERROR(INDEX(Listas!$AC$2:$AC$4,MATCH(D58,Listas!$AB$2:$AB$4,0)),"")</f>
        <v/>
      </c>
      <c r="X58" t="str">
        <f t="shared" si="20"/>
        <v/>
      </c>
      <c r="Y58" t="str">
        <f t="shared" si="21"/>
        <v/>
      </c>
      <c r="Z58" t="str">
        <f t="shared" si="22"/>
        <v/>
      </c>
      <c r="AA58" t="str">
        <f t="shared" si="23"/>
        <v/>
      </c>
      <c r="AB58" t="str">
        <f t="shared" si="24"/>
        <v/>
      </c>
      <c r="AC58" t="str">
        <f t="shared" si="25"/>
        <v/>
      </c>
      <c r="AD58" t="str">
        <f t="shared" si="26"/>
        <v/>
      </c>
      <c r="AE58" t="str">
        <f t="shared" si="27"/>
        <v/>
      </c>
      <c r="AF58" t="str">
        <f t="shared" si="28"/>
        <v/>
      </c>
      <c r="AG58" t="str">
        <f t="shared" si="29"/>
        <v/>
      </c>
      <c r="AH58" t="str">
        <f t="shared" si="30"/>
        <v/>
      </c>
      <c r="AI58" t="str">
        <f t="shared" si="31"/>
        <v/>
      </c>
      <c r="AJ58" t="str">
        <f t="shared" si="32"/>
        <v/>
      </c>
      <c r="AK58" t="str">
        <f t="shared" si="33"/>
        <v/>
      </c>
    </row>
    <row r="59" spans="20:37" x14ac:dyDescent="0.35">
      <c r="T59" t="str">
        <f t="shared" si="17"/>
        <v/>
      </c>
      <c r="U59" t="str">
        <f t="shared" si="18"/>
        <v/>
      </c>
      <c r="V59" t="str">
        <f t="shared" si="19"/>
        <v/>
      </c>
      <c r="W59" t="str">
        <f>IFERROR(INDEX(Listas!$AC$2:$AC$4,MATCH(D59,Listas!$AB$2:$AB$4,0)),"")</f>
        <v/>
      </c>
      <c r="X59" t="str">
        <f t="shared" si="20"/>
        <v/>
      </c>
      <c r="Y59" t="str">
        <f t="shared" si="21"/>
        <v/>
      </c>
      <c r="Z59" t="str">
        <f t="shared" si="22"/>
        <v/>
      </c>
      <c r="AA59" t="str">
        <f t="shared" si="23"/>
        <v/>
      </c>
      <c r="AB59" t="str">
        <f t="shared" si="24"/>
        <v/>
      </c>
      <c r="AC59" t="str">
        <f t="shared" si="25"/>
        <v/>
      </c>
      <c r="AD59" t="str">
        <f t="shared" si="26"/>
        <v/>
      </c>
      <c r="AE59" t="str">
        <f t="shared" si="27"/>
        <v/>
      </c>
      <c r="AF59" t="str">
        <f t="shared" si="28"/>
        <v/>
      </c>
      <c r="AG59" t="str">
        <f t="shared" si="29"/>
        <v/>
      </c>
      <c r="AH59" t="str">
        <f t="shared" si="30"/>
        <v/>
      </c>
      <c r="AI59" t="str">
        <f t="shared" si="31"/>
        <v/>
      </c>
      <c r="AJ59" t="str">
        <f t="shared" si="32"/>
        <v/>
      </c>
      <c r="AK59" t="str">
        <f t="shared" si="33"/>
        <v/>
      </c>
    </row>
    <row r="60" spans="20:37" x14ac:dyDescent="0.35">
      <c r="T60" t="str">
        <f t="shared" si="17"/>
        <v/>
      </c>
      <c r="U60" t="str">
        <f t="shared" si="18"/>
        <v/>
      </c>
      <c r="V60" t="str">
        <f t="shared" si="19"/>
        <v/>
      </c>
      <c r="W60" t="str">
        <f>IFERROR(INDEX(Listas!$AC$2:$AC$4,MATCH(D60,Listas!$AB$2:$AB$4,0)),"")</f>
        <v/>
      </c>
      <c r="X60" t="str">
        <f t="shared" si="20"/>
        <v/>
      </c>
      <c r="Y60" t="str">
        <f t="shared" si="21"/>
        <v/>
      </c>
      <c r="Z60" t="str">
        <f t="shared" si="22"/>
        <v/>
      </c>
      <c r="AA60" t="str">
        <f t="shared" si="23"/>
        <v/>
      </c>
      <c r="AB60" t="str">
        <f t="shared" si="24"/>
        <v/>
      </c>
      <c r="AC60" t="str">
        <f t="shared" si="25"/>
        <v/>
      </c>
      <c r="AD60" t="str">
        <f t="shared" si="26"/>
        <v/>
      </c>
      <c r="AE60" t="str">
        <f t="shared" si="27"/>
        <v/>
      </c>
      <c r="AF60" t="str">
        <f t="shared" si="28"/>
        <v/>
      </c>
      <c r="AG60" t="str">
        <f t="shared" si="29"/>
        <v/>
      </c>
      <c r="AH60" t="str">
        <f t="shared" si="30"/>
        <v/>
      </c>
      <c r="AI60" t="str">
        <f t="shared" si="31"/>
        <v/>
      </c>
      <c r="AJ60" t="str">
        <f t="shared" si="32"/>
        <v/>
      </c>
      <c r="AK60" t="str">
        <f t="shared" si="33"/>
        <v/>
      </c>
    </row>
    <row r="61" spans="20:37" x14ac:dyDescent="0.35">
      <c r="T61" t="str">
        <f t="shared" si="17"/>
        <v/>
      </c>
      <c r="U61" t="str">
        <f t="shared" si="18"/>
        <v/>
      </c>
      <c r="V61" t="str">
        <f t="shared" si="19"/>
        <v/>
      </c>
      <c r="W61" t="str">
        <f>IFERROR(INDEX(Listas!$AC$2:$AC$4,MATCH(D61,Listas!$AB$2:$AB$4,0)),"")</f>
        <v/>
      </c>
      <c r="X61" t="str">
        <f t="shared" si="20"/>
        <v/>
      </c>
      <c r="Y61" t="str">
        <f t="shared" si="21"/>
        <v/>
      </c>
      <c r="Z61" t="str">
        <f t="shared" si="22"/>
        <v/>
      </c>
      <c r="AA61" t="str">
        <f t="shared" si="23"/>
        <v/>
      </c>
      <c r="AB61" t="str">
        <f t="shared" si="24"/>
        <v/>
      </c>
      <c r="AC61" t="str">
        <f t="shared" si="25"/>
        <v/>
      </c>
      <c r="AD61" t="str">
        <f t="shared" si="26"/>
        <v/>
      </c>
      <c r="AE61" t="str">
        <f t="shared" si="27"/>
        <v/>
      </c>
      <c r="AF61" t="str">
        <f t="shared" si="28"/>
        <v/>
      </c>
      <c r="AG61" t="str">
        <f t="shared" si="29"/>
        <v/>
      </c>
      <c r="AH61" t="str">
        <f t="shared" si="30"/>
        <v/>
      </c>
      <c r="AI61" t="str">
        <f t="shared" si="31"/>
        <v/>
      </c>
      <c r="AJ61" t="str">
        <f t="shared" si="32"/>
        <v/>
      </c>
      <c r="AK61" t="str">
        <f t="shared" si="33"/>
        <v/>
      </c>
    </row>
  </sheetData>
  <autoFilter ref="A1:R1"/>
  <conditionalFormatting sqref="A3:A61">
    <cfRule type="expression" dxfId="73" priority="2">
      <formula>AND($A3="",COUNTA($A3:$R3)&gt;0)</formula>
    </cfRule>
  </conditionalFormatting>
  <conditionalFormatting sqref="F3:F61">
    <cfRule type="expression" dxfId="72" priority="3">
      <formula>AND($F3="",COUNTA($A3:$R3)&gt;0)</formula>
    </cfRule>
  </conditionalFormatting>
  <conditionalFormatting sqref="N3:N61">
    <cfRule type="expression" dxfId="71" priority="4">
      <formula>AND($N3="",COUNTA($A3:$R3)&gt;0)</formula>
    </cfRule>
  </conditionalFormatting>
  <conditionalFormatting sqref="O3:O61">
    <cfRule type="expression" dxfId="70" priority="5">
      <formula>AND($O3="",COUNTA($A3:$R3)&gt;0)</formula>
    </cfRule>
  </conditionalFormatting>
  <conditionalFormatting sqref="P3:P61">
    <cfRule type="expression" dxfId="69" priority="6">
      <formula>AND($P3="",COUNTA($A3:$R3)&gt;0)</formula>
    </cfRule>
  </conditionalFormatting>
  <dataValidations count="7">
    <dataValidation type="textLength" operator="lessThanOrEqual" allowBlank="1" errorTitle="Texto muito longo" error="Máximo de 50 caracteres" sqref="F2:F61">
      <formula1>50</formula1>
      <formula2>0</formula2>
    </dataValidation>
    <dataValidation type="textLength" operator="lessThanOrEqual" allowBlank="1" errorTitle="Texto muito longo" error="Máximo de 100 caracteres" sqref="L2:M61 O2:O61">
      <formula1>100</formula1>
      <formula2>0</formula2>
    </dataValidation>
    <dataValidation type="textLength" operator="lessThanOrEqual" allowBlank="1" errorTitle="Texto muito longo" error="Máximo de 150 caracteres" sqref="A2:B61 N2:N61 P2:P61">
      <formula1>150</formula1>
      <formula2>0</formula2>
    </dataValidation>
    <dataValidation type="textLength" operator="lessThanOrEqual" allowBlank="1" errorTitle="Texto muito longo" error="Máximo de 20 caracteres" sqref="C2:C61 E2:E61 K2:K61">
      <formula1>20</formula1>
      <formula2>0</formula2>
    </dataValidation>
    <dataValidation type="textLength" operator="lessThanOrEqual" allowBlank="1" errorTitle="Texto muito longo" error="Máximo de 10 caracteres" sqref="G2:G61">
      <formula1>10</formula1>
      <formula2>0</formula2>
    </dataValidation>
    <dataValidation type="textLength" operator="lessThanOrEqual" allowBlank="1" errorTitle="Texto muito longo" error="Máximo de 255 caracteres" sqref="H2:J61">
      <formula1>255</formula1>
      <formula2>0</formula2>
    </dataValidation>
    <dataValidation type="list" allowBlank="1" sqref="R2:R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Listas!$AB$2:$AB$4</xm:f>
          </x14:formula1>
          <x14:formula2>
            <xm:f>0</xm:f>
          </x14:formula2>
          <xm:sqref>D2:D61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5623"/>
  </sheetPr>
  <dimension ref="A1:M61"/>
  <sheetViews>
    <sheetView zoomScaleNormal="100" workbookViewId="0">
      <pane ySplit="1" topLeftCell="A2" activePane="bottomLeft" state="frozen"/>
      <selection pane="bottomLeft" activeCell="D7" sqref="D7"/>
    </sheetView>
  </sheetViews>
  <sheetFormatPr defaultColWidth="8.54296875" defaultRowHeight="14.5" x14ac:dyDescent="0.35"/>
  <cols>
    <col min="1" max="1" width="28" customWidth="1"/>
    <col min="2" max="2" width="16" customWidth="1"/>
    <col min="3" max="3" width="10" customWidth="1"/>
    <col min="4" max="4" width="22" customWidth="1"/>
    <col min="5" max="5" width="20" customWidth="1"/>
    <col min="6" max="6" width="18" customWidth="1"/>
    <col min="8" max="13" width="16" hidden="1" customWidth="1"/>
  </cols>
  <sheetData>
    <row r="1" spans="1:13" ht="31.5" customHeight="1" x14ac:dyDescent="0.35">
      <c r="A1" s="12" t="s">
        <v>31</v>
      </c>
      <c r="B1" s="12" t="s">
        <v>32</v>
      </c>
      <c r="C1" s="12" t="s">
        <v>53</v>
      </c>
      <c r="D1" s="12" t="s">
        <v>118</v>
      </c>
      <c r="E1" s="12" t="s">
        <v>119</v>
      </c>
      <c r="F1" s="12" t="s">
        <v>120</v>
      </c>
      <c r="H1" s="10" t="s">
        <v>34</v>
      </c>
      <c r="I1" s="10" t="s">
        <v>35</v>
      </c>
      <c r="J1" s="10" t="s">
        <v>46</v>
      </c>
      <c r="K1" s="10" t="s">
        <v>121</v>
      </c>
      <c r="L1" s="10" t="s">
        <v>122</v>
      </c>
      <c r="M1" s="10" t="s">
        <v>123</v>
      </c>
    </row>
    <row r="2" spans="1:13" x14ac:dyDescent="0.35">
      <c r="A2" s="11" t="s">
        <v>124</v>
      </c>
      <c r="B2" s="11" t="s">
        <v>125</v>
      </c>
      <c r="C2" s="11" t="s">
        <v>49</v>
      </c>
      <c r="D2" s="11" t="s">
        <v>37</v>
      </c>
      <c r="E2" s="11" t="s">
        <v>41</v>
      </c>
      <c r="F2" s="11" t="s">
        <v>126</v>
      </c>
      <c r="H2" t="str">
        <f t="shared" ref="H2:H33" si="0">IF(A2="","",A2)</f>
        <v>Administração</v>
      </c>
      <c r="I2" t="str">
        <f t="shared" ref="I2:I33" si="1">IF(B2="","",B2)</f>
        <v>CUR-001</v>
      </c>
      <c r="J2" t="str">
        <f t="shared" ref="J2:J33" si="2">IF(C2="Sim","true",IF(C2="Não","false",""))</f>
        <v>true</v>
      </c>
      <c r="K2" t="str">
        <f>IFERROR(INDEX('1.1 Modalidades'!$B$2:$B$61,MATCH(D2,'1.1 Modalidades'!$A$2:$A$61,0)),"")</f>
        <v>MOD-001</v>
      </c>
      <c r="L2" t="str">
        <f>IFERROR(INDEX('1.2 Niveis Ensino'!$B$2:$B$61,MATCH(E2,'1.2 Niveis Ensino'!$A$2:$A$61,0)),"")</f>
        <v>LEV-001</v>
      </c>
      <c r="M2" t="str">
        <f>IFERROR(INDEX(Listas!$H$2:$H$4,MATCH(F2,Listas!$G$2:$G$4,0)),"")</f>
        <v>bachelor</v>
      </c>
    </row>
    <row r="3" spans="1:13" x14ac:dyDescent="0.35">
      <c r="H3" t="str">
        <f t="shared" si="0"/>
        <v/>
      </c>
      <c r="I3" t="str">
        <f t="shared" si="1"/>
        <v/>
      </c>
      <c r="J3" t="str">
        <f t="shared" si="2"/>
        <v/>
      </c>
      <c r="K3" t="str">
        <f>IFERROR(INDEX('1.1 Modalidades'!$B$2:$B$61,MATCH(D3,'1.1 Modalidades'!$A$2:$A$61,0)),"")</f>
        <v/>
      </c>
      <c r="L3" t="str">
        <f>IFERROR(INDEX('1.2 Niveis Ensino'!$B$2:$B$61,MATCH(E3,'1.2 Niveis Ensino'!$A$2:$A$61,0)),"")</f>
        <v/>
      </c>
      <c r="M3" t="str">
        <f>IFERROR(INDEX(Listas!$H$2:$H$4,MATCH(F3,Listas!$G$2:$G$4,0)),"")</f>
        <v/>
      </c>
    </row>
    <row r="4" spans="1:13" x14ac:dyDescent="0.35">
      <c r="H4" t="str">
        <f t="shared" si="0"/>
        <v/>
      </c>
      <c r="I4" t="str">
        <f t="shared" si="1"/>
        <v/>
      </c>
      <c r="J4" t="str">
        <f t="shared" si="2"/>
        <v/>
      </c>
      <c r="K4" t="str">
        <f>IFERROR(INDEX('1.1 Modalidades'!$B$2:$B$61,MATCH(D4,'1.1 Modalidades'!$A$2:$A$61,0)),"")</f>
        <v/>
      </c>
      <c r="L4" t="str">
        <f>IFERROR(INDEX('1.2 Niveis Ensino'!$B$2:$B$61,MATCH(E4,'1.2 Niveis Ensino'!$A$2:$A$61,0)),"")</f>
        <v/>
      </c>
      <c r="M4" t="str">
        <f>IFERROR(INDEX(Listas!$H$2:$H$4,MATCH(F4,Listas!$G$2:$G$4,0)),"")</f>
        <v/>
      </c>
    </row>
    <row r="5" spans="1:13" x14ac:dyDescent="0.35">
      <c r="H5" t="str">
        <f t="shared" si="0"/>
        <v/>
      </c>
      <c r="I5" t="str">
        <f t="shared" si="1"/>
        <v/>
      </c>
      <c r="J5" t="str">
        <f t="shared" si="2"/>
        <v/>
      </c>
      <c r="K5" t="str">
        <f>IFERROR(INDEX('1.1 Modalidades'!$B$2:$B$61,MATCH(D5,'1.1 Modalidades'!$A$2:$A$61,0)),"")</f>
        <v/>
      </c>
      <c r="L5" t="str">
        <f>IFERROR(INDEX('1.2 Niveis Ensino'!$B$2:$B$61,MATCH(E5,'1.2 Niveis Ensino'!$A$2:$A$61,0)),"")</f>
        <v/>
      </c>
      <c r="M5" t="str">
        <f>IFERROR(INDEX(Listas!$H$2:$H$4,MATCH(F5,Listas!$G$2:$G$4,0)),"")</f>
        <v/>
      </c>
    </row>
    <row r="6" spans="1:13" x14ac:dyDescent="0.35">
      <c r="H6" t="str">
        <f t="shared" si="0"/>
        <v/>
      </c>
      <c r="I6" t="str">
        <f t="shared" si="1"/>
        <v/>
      </c>
      <c r="J6" t="str">
        <f t="shared" si="2"/>
        <v/>
      </c>
      <c r="K6" t="str">
        <f>IFERROR(INDEX('1.1 Modalidades'!$B$2:$B$61,MATCH(D6,'1.1 Modalidades'!$A$2:$A$61,0)),"")</f>
        <v/>
      </c>
      <c r="L6" t="str">
        <f>IFERROR(INDEX('1.2 Niveis Ensino'!$B$2:$B$61,MATCH(E6,'1.2 Niveis Ensino'!$A$2:$A$61,0)),"")</f>
        <v/>
      </c>
      <c r="M6" t="str">
        <f>IFERROR(INDEX(Listas!$H$2:$H$4,MATCH(F6,Listas!$G$2:$G$4,0)),"")</f>
        <v/>
      </c>
    </row>
    <row r="7" spans="1:13" x14ac:dyDescent="0.35">
      <c r="H7" t="str">
        <f t="shared" si="0"/>
        <v/>
      </c>
      <c r="I7" t="str">
        <f t="shared" si="1"/>
        <v/>
      </c>
      <c r="J7" t="str">
        <f t="shared" si="2"/>
        <v/>
      </c>
      <c r="K7" t="str">
        <f>IFERROR(INDEX('1.1 Modalidades'!$B$2:$B$61,MATCH(D7,'1.1 Modalidades'!$A$2:$A$61,0)),"")</f>
        <v/>
      </c>
      <c r="L7" t="str">
        <f>IFERROR(INDEX('1.2 Niveis Ensino'!$B$2:$B$61,MATCH(E7,'1.2 Niveis Ensino'!$A$2:$A$61,0)),"")</f>
        <v/>
      </c>
      <c r="M7" t="str">
        <f>IFERROR(INDEX(Listas!$H$2:$H$4,MATCH(F7,Listas!$G$2:$G$4,0)),"")</f>
        <v/>
      </c>
    </row>
    <row r="8" spans="1:13" x14ac:dyDescent="0.35">
      <c r="H8" t="str">
        <f t="shared" si="0"/>
        <v/>
      </c>
      <c r="I8" t="str">
        <f t="shared" si="1"/>
        <v/>
      </c>
      <c r="J8" t="str">
        <f t="shared" si="2"/>
        <v/>
      </c>
      <c r="K8" t="str">
        <f>IFERROR(INDEX('1.1 Modalidades'!$B$2:$B$61,MATCH(D8,'1.1 Modalidades'!$A$2:$A$61,0)),"")</f>
        <v/>
      </c>
      <c r="L8" t="str">
        <f>IFERROR(INDEX('1.2 Niveis Ensino'!$B$2:$B$61,MATCH(E8,'1.2 Niveis Ensino'!$A$2:$A$61,0)),"")</f>
        <v/>
      </c>
      <c r="M8" t="str">
        <f>IFERROR(INDEX(Listas!$H$2:$H$4,MATCH(F8,Listas!$G$2:$G$4,0)),"")</f>
        <v/>
      </c>
    </row>
    <row r="9" spans="1:13" x14ac:dyDescent="0.35">
      <c r="H9" t="str">
        <f t="shared" si="0"/>
        <v/>
      </c>
      <c r="I9" t="str">
        <f t="shared" si="1"/>
        <v/>
      </c>
      <c r="J9" t="str">
        <f t="shared" si="2"/>
        <v/>
      </c>
      <c r="K9" t="str">
        <f>IFERROR(INDEX('1.1 Modalidades'!$B$2:$B$61,MATCH(D9,'1.1 Modalidades'!$A$2:$A$61,0)),"")</f>
        <v/>
      </c>
      <c r="L9" t="str">
        <f>IFERROR(INDEX('1.2 Niveis Ensino'!$B$2:$B$61,MATCH(E9,'1.2 Niveis Ensino'!$A$2:$A$61,0)),"")</f>
        <v/>
      </c>
      <c r="M9" t="str">
        <f>IFERROR(INDEX(Listas!$H$2:$H$4,MATCH(F9,Listas!$G$2:$G$4,0)),"")</f>
        <v/>
      </c>
    </row>
    <row r="10" spans="1:13" x14ac:dyDescent="0.35">
      <c r="H10" t="str">
        <f t="shared" si="0"/>
        <v/>
      </c>
      <c r="I10" t="str">
        <f t="shared" si="1"/>
        <v/>
      </c>
      <c r="J10" t="str">
        <f t="shared" si="2"/>
        <v/>
      </c>
      <c r="K10" t="str">
        <f>IFERROR(INDEX('1.1 Modalidades'!$B$2:$B$61,MATCH(D10,'1.1 Modalidades'!$A$2:$A$61,0)),"")</f>
        <v/>
      </c>
      <c r="L10" t="str">
        <f>IFERROR(INDEX('1.2 Niveis Ensino'!$B$2:$B$61,MATCH(E10,'1.2 Niveis Ensino'!$A$2:$A$61,0)),"")</f>
        <v/>
      </c>
      <c r="M10" t="str">
        <f>IFERROR(INDEX(Listas!$H$2:$H$4,MATCH(F10,Listas!$G$2:$G$4,0)),"")</f>
        <v/>
      </c>
    </row>
    <row r="11" spans="1:13" x14ac:dyDescent="0.35">
      <c r="H11" t="str">
        <f t="shared" si="0"/>
        <v/>
      </c>
      <c r="I11" t="str">
        <f t="shared" si="1"/>
        <v/>
      </c>
      <c r="J11" t="str">
        <f t="shared" si="2"/>
        <v/>
      </c>
      <c r="K11" t="str">
        <f>IFERROR(INDEX('1.1 Modalidades'!$B$2:$B$61,MATCH(D11,'1.1 Modalidades'!$A$2:$A$61,0)),"")</f>
        <v/>
      </c>
      <c r="L11" t="str">
        <f>IFERROR(INDEX('1.2 Niveis Ensino'!$B$2:$B$61,MATCH(E11,'1.2 Niveis Ensino'!$A$2:$A$61,0)),"")</f>
        <v/>
      </c>
      <c r="M11" t="str">
        <f>IFERROR(INDEX(Listas!$H$2:$H$4,MATCH(F11,Listas!$G$2:$G$4,0)),"")</f>
        <v/>
      </c>
    </row>
    <row r="12" spans="1:13" x14ac:dyDescent="0.35">
      <c r="H12" t="str">
        <f t="shared" si="0"/>
        <v/>
      </c>
      <c r="I12" t="str">
        <f t="shared" si="1"/>
        <v/>
      </c>
      <c r="J12" t="str">
        <f t="shared" si="2"/>
        <v/>
      </c>
      <c r="K12" t="str">
        <f>IFERROR(INDEX('1.1 Modalidades'!$B$2:$B$61,MATCH(D12,'1.1 Modalidades'!$A$2:$A$61,0)),"")</f>
        <v/>
      </c>
      <c r="L12" t="str">
        <f>IFERROR(INDEX('1.2 Niveis Ensino'!$B$2:$B$61,MATCH(E12,'1.2 Niveis Ensino'!$A$2:$A$61,0)),"")</f>
        <v/>
      </c>
      <c r="M12" t="str">
        <f>IFERROR(INDEX(Listas!$H$2:$H$4,MATCH(F12,Listas!$G$2:$G$4,0)),"")</f>
        <v/>
      </c>
    </row>
    <row r="13" spans="1:13" x14ac:dyDescent="0.35">
      <c r="H13" t="str">
        <f t="shared" si="0"/>
        <v/>
      </c>
      <c r="I13" t="str">
        <f t="shared" si="1"/>
        <v/>
      </c>
      <c r="J13" t="str">
        <f t="shared" si="2"/>
        <v/>
      </c>
      <c r="K13" t="str">
        <f>IFERROR(INDEX('1.1 Modalidades'!$B$2:$B$61,MATCH(D13,'1.1 Modalidades'!$A$2:$A$61,0)),"")</f>
        <v/>
      </c>
      <c r="L13" t="str">
        <f>IFERROR(INDEX('1.2 Niveis Ensino'!$B$2:$B$61,MATCH(E13,'1.2 Niveis Ensino'!$A$2:$A$61,0)),"")</f>
        <v/>
      </c>
      <c r="M13" t="str">
        <f>IFERROR(INDEX(Listas!$H$2:$H$4,MATCH(F13,Listas!$G$2:$G$4,0)),"")</f>
        <v/>
      </c>
    </row>
    <row r="14" spans="1:13" x14ac:dyDescent="0.35">
      <c r="H14" t="str">
        <f t="shared" si="0"/>
        <v/>
      </c>
      <c r="I14" t="str">
        <f t="shared" si="1"/>
        <v/>
      </c>
      <c r="J14" t="str">
        <f t="shared" si="2"/>
        <v/>
      </c>
      <c r="K14" t="str">
        <f>IFERROR(INDEX('1.1 Modalidades'!$B$2:$B$61,MATCH(D14,'1.1 Modalidades'!$A$2:$A$61,0)),"")</f>
        <v/>
      </c>
      <c r="L14" t="str">
        <f>IFERROR(INDEX('1.2 Niveis Ensino'!$B$2:$B$61,MATCH(E14,'1.2 Niveis Ensino'!$A$2:$A$61,0)),"")</f>
        <v/>
      </c>
      <c r="M14" t="str">
        <f>IFERROR(INDEX(Listas!$H$2:$H$4,MATCH(F14,Listas!$G$2:$G$4,0)),"")</f>
        <v/>
      </c>
    </row>
    <row r="15" spans="1:13" x14ac:dyDescent="0.35">
      <c r="H15" t="str">
        <f t="shared" si="0"/>
        <v/>
      </c>
      <c r="I15" t="str">
        <f t="shared" si="1"/>
        <v/>
      </c>
      <c r="J15" t="str">
        <f t="shared" si="2"/>
        <v/>
      </c>
      <c r="K15" t="str">
        <f>IFERROR(INDEX('1.1 Modalidades'!$B$2:$B$61,MATCH(D15,'1.1 Modalidades'!$A$2:$A$61,0)),"")</f>
        <v/>
      </c>
      <c r="L15" t="str">
        <f>IFERROR(INDEX('1.2 Niveis Ensino'!$B$2:$B$61,MATCH(E15,'1.2 Niveis Ensino'!$A$2:$A$61,0)),"")</f>
        <v/>
      </c>
      <c r="M15" t="str">
        <f>IFERROR(INDEX(Listas!$H$2:$H$4,MATCH(F15,Listas!$G$2:$G$4,0)),"")</f>
        <v/>
      </c>
    </row>
    <row r="16" spans="1:13" x14ac:dyDescent="0.35">
      <c r="H16" t="str">
        <f t="shared" si="0"/>
        <v/>
      </c>
      <c r="I16" t="str">
        <f t="shared" si="1"/>
        <v/>
      </c>
      <c r="J16" t="str">
        <f t="shared" si="2"/>
        <v/>
      </c>
      <c r="K16" t="str">
        <f>IFERROR(INDEX('1.1 Modalidades'!$B$2:$B$61,MATCH(D16,'1.1 Modalidades'!$A$2:$A$61,0)),"")</f>
        <v/>
      </c>
      <c r="L16" t="str">
        <f>IFERROR(INDEX('1.2 Niveis Ensino'!$B$2:$B$61,MATCH(E16,'1.2 Niveis Ensino'!$A$2:$A$61,0)),"")</f>
        <v/>
      </c>
      <c r="M16" t="str">
        <f>IFERROR(INDEX(Listas!$H$2:$H$4,MATCH(F16,Listas!$G$2:$G$4,0)),"")</f>
        <v/>
      </c>
    </row>
    <row r="17" spans="8:13" x14ac:dyDescent="0.35">
      <c r="H17" t="str">
        <f t="shared" si="0"/>
        <v/>
      </c>
      <c r="I17" t="str">
        <f t="shared" si="1"/>
        <v/>
      </c>
      <c r="J17" t="str">
        <f t="shared" si="2"/>
        <v/>
      </c>
      <c r="K17" t="str">
        <f>IFERROR(INDEX('1.1 Modalidades'!$B$2:$B$61,MATCH(D17,'1.1 Modalidades'!$A$2:$A$61,0)),"")</f>
        <v/>
      </c>
      <c r="L17" t="str">
        <f>IFERROR(INDEX('1.2 Niveis Ensino'!$B$2:$B$61,MATCH(E17,'1.2 Niveis Ensino'!$A$2:$A$61,0)),"")</f>
        <v/>
      </c>
      <c r="M17" t="str">
        <f>IFERROR(INDEX(Listas!$H$2:$H$4,MATCH(F17,Listas!$G$2:$G$4,0)),"")</f>
        <v/>
      </c>
    </row>
    <row r="18" spans="8:13" x14ac:dyDescent="0.35">
      <c r="H18" t="str">
        <f t="shared" si="0"/>
        <v/>
      </c>
      <c r="I18" t="str">
        <f t="shared" si="1"/>
        <v/>
      </c>
      <c r="J18" t="str">
        <f t="shared" si="2"/>
        <v/>
      </c>
      <c r="K18" t="str">
        <f>IFERROR(INDEX('1.1 Modalidades'!$B$2:$B$61,MATCH(D18,'1.1 Modalidades'!$A$2:$A$61,0)),"")</f>
        <v/>
      </c>
      <c r="L18" t="str">
        <f>IFERROR(INDEX('1.2 Niveis Ensino'!$B$2:$B$61,MATCH(E18,'1.2 Niveis Ensino'!$A$2:$A$61,0)),"")</f>
        <v/>
      </c>
      <c r="M18" t="str">
        <f>IFERROR(INDEX(Listas!$H$2:$H$4,MATCH(F18,Listas!$G$2:$G$4,0)),"")</f>
        <v/>
      </c>
    </row>
    <row r="19" spans="8:13" x14ac:dyDescent="0.35">
      <c r="H19" t="str">
        <f t="shared" si="0"/>
        <v/>
      </c>
      <c r="I19" t="str">
        <f t="shared" si="1"/>
        <v/>
      </c>
      <c r="J19" t="str">
        <f t="shared" si="2"/>
        <v/>
      </c>
      <c r="K19" t="str">
        <f>IFERROR(INDEX('1.1 Modalidades'!$B$2:$B$61,MATCH(D19,'1.1 Modalidades'!$A$2:$A$61,0)),"")</f>
        <v/>
      </c>
      <c r="L19" t="str">
        <f>IFERROR(INDEX('1.2 Niveis Ensino'!$B$2:$B$61,MATCH(E19,'1.2 Niveis Ensino'!$A$2:$A$61,0)),"")</f>
        <v/>
      </c>
      <c r="M19" t="str">
        <f>IFERROR(INDEX(Listas!$H$2:$H$4,MATCH(F19,Listas!$G$2:$G$4,0)),"")</f>
        <v/>
      </c>
    </row>
    <row r="20" spans="8:13" x14ac:dyDescent="0.35">
      <c r="H20" t="str">
        <f t="shared" si="0"/>
        <v/>
      </c>
      <c r="I20" t="str">
        <f t="shared" si="1"/>
        <v/>
      </c>
      <c r="J20" t="str">
        <f t="shared" si="2"/>
        <v/>
      </c>
      <c r="K20" t="str">
        <f>IFERROR(INDEX('1.1 Modalidades'!$B$2:$B$61,MATCH(D20,'1.1 Modalidades'!$A$2:$A$61,0)),"")</f>
        <v/>
      </c>
      <c r="L20" t="str">
        <f>IFERROR(INDEX('1.2 Niveis Ensino'!$B$2:$B$61,MATCH(E20,'1.2 Niveis Ensino'!$A$2:$A$61,0)),"")</f>
        <v/>
      </c>
      <c r="M20" t="str">
        <f>IFERROR(INDEX(Listas!$H$2:$H$4,MATCH(F20,Listas!$G$2:$G$4,0)),"")</f>
        <v/>
      </c>
    </row>
    <row r="21" spans="8:13" x14ac:dyDescent="0.35">
      <c r="H21" t="str">
        <f t="shared" si="0"/>
        <v/>
      </c>
      <c r="I21" t="str">
        <f t="shared" si="1"/>
        <v/>
      </c>
      <c r="J21" t="str">
        <f t="shared" si="2"/>
        <v/>
      </c>
      <c r="K21" t="str">
        <f>IFERROR(INDEX('1.1 Modalidades'!$B$2:$B$61,MATCH(D21,'1.1 Modalidades'!$A$2:$A$61,0)),"")</f>
        <v/>
      </c>
      <c r="L21" t="str">
        <f>IFERROR(INDEX('1.2 Niveis Ensino'!$B$2:$B$61,MATCH(E21,'1.2 Niveis Ensino'!$A$2:$A$61,0)),"")</f>
        <v/>
      </c>
      <c r="M21" t="str">
        <f>IFERROR(INDEX(Listas!$H$2:$H$4,MATCH(F21,Listas!$G$2:$G$4,0)),"")</f>
        <v/>
      </c>
    </row>
    <row r="22" spans="8:13" x14ac:dyDescent="0.35">
      <c r="H22" t="str">
        <f t="shared" si="0"/>
        <v/>
      </c>
      <c r="I22" t="str">
        <f t="shared" si="1"/>
        <v/>
      </c>
      <c r="J22" t="str">
        <f t="shared" si="2"/>
        <v/>
      </c>
      <c r="K22" t="str">
        <f>IFERROR(INDEX('1.1 Modalidades'!$B$2:$B$61,MATCH(D22,'1.1 Modalidades'!$A$2:$A$61,0)),"")</f>
        <v/>
      </c>
      <c r="L22" t="str">
        <f>IFERROR(INDEX('1.2 Niveis Ensino'!$B$2:$B$61,MATCH(E22,'1.2 Niveis Ensino'!$A$2:$A$61,0)),"")</f>
        <v/>
      </c>
      <c r="M22" t="str">
        <f>IFERROR(INDEX(Listas!$H$2:$H$4,MATCH(F22,Listas!$G$2:$G$4,0)),"")</f>
        <v/>
      </c>
    </row>
    <row r="23" spans="8:13" x14ac:dyDescent="0.35">
      <c r="H23" t="str">
        <f t="shared" si="0"/>
        <v/>
      </c>
      <c r="I23" t="str">
        <f t="shared" si="1"/>
        <v/>
      </c>
      <c r="J23" t="str">
        <f t="shared" si="2"/>
        <v/>
      </c>
      <c r="K23" t="str">
        <f>IFERROR(INDEX('1.1 Modalidades'!$B$2:$B$61,MATCH(D23,'1.1 Modalidades'!$A$2:$A$61,0)),"")</f>
        <v/>
      </c>
      <c r="L23" t="str">
        <f>IFERROR(INDEX('1.2 Niveis Ensino'!$B$2:$B$61,MATCH(E23,'1.2 Niveis Ensino'!$A$2:$A$61,0)),"")</f>
        <v/>
      </c>
      <c r="M23" t="str">
        <f>IFERROR(INDEX(Listas!$H$2:$H$4,MATCH(F23,Listas!$G$2:$G$4,0)),"")</f>
        <v/>
      </c>
    </row>
    <row r="24" spans="8:13" x14ac:dyDescent="0.35">
      <c r="H24" t="str">
        <f t="shared" si="0"/>
        <v/>
      </c>
      <c r="I24" t="str">
        <f t="shared" si="1"/>
        <v/>
      </c>
      <c r="J24" t="str">
        <f t="shared" si="2"/>
        <v/>
      </c>
      <c r="K24" t="str">
        <f>IFERROR(INDEX('1.1 Modalidades'!$B$2:$B$61,MATCH(D24,'1.1 Modalidades'!$A$2:$A$61,0)),"")</f>
        <v/>
      </c>
      <c r="L24" t="str">
        <f>IFERROR(INDEX('1.2 Niveis Ensino'!$B$2:$B$61,MATCH(E24,'1.2 Niveis Ensino'!$A$2:$A$61,0)),"")</f>
        <v/>
      </c>
      <c r="M24" t="str">
        <f>IFERROR(INDEX(Listas!$H$2:$H$4,MATCH(F24,Listas!$G$2:$G$4,0)),"")</f>
        <v/>
      </c>
    </row>
    <row r="25" spans="8:13" x14ac:dyDescent="0.35">
      <c r="H25" t="str">
        <f t="shared" si="0"/>
        <v/>
      </c>
      <c r="I25" t="str">
        <f t="shared" si="1"/>
        <v/>
      </c>
      <c r="J25" t="str">
        <f t="shared" si="2"/>
        <v/>
      </c>
      <c r="K25" t="str">
        <f>IFERROR(INDEX('1.1 Modalidades'!$B$2:$B$61,MATCH(D25,'1.1 Modalidades'!$A$2:$A$61,0)),"")</f>
        <v/>
      </c>
      <c r="L25" t="str">
        <f>IFERROR(INDEX('1.2 Niveis Ensino'!$B$2:$B$61,MATCH(E25,'1.2 Niveis Ensino'!$A$2:$A$61,0)),"")</f>
        <v/>
      </c>
      <c r="M25" t="str">
        <f>IFERROR(INDEX(Listas!$H$2:$H$4,MATCH(F25,Listas!$G$2:$G$4,0)),"")</f>
        <v/>
      </c>
    </row>
    <row r="26" spans="8:13" x14ac:dyDescent="0.35">
      <c r="H26" t="str">
        <f t="shared" si="0"/>
        <v/>
      </c>
      <c r="I26" t="str">
        <f t="shared" si="1"/>
        <v/>
      </c>
      <c r="J26" t="str">
        <f t="shared" si="2"/>
        <v/>
      </c>
      <c r="K26" t="str">
        <f>IFERROR(INDEX('1.1 Modalidades'!$B$2:$B$61,MATCH(D26,'1.1 Modalidades'!$A$2:$A$61,0)),"")</f>
        <v/>
      </c>
      <c r="L26" t="str">
        <f>IFERROR(INDEX('1.2 Niveis Ensino'!$B$2:$B$61,MATCH(E26,'1.2 Niveis Ensino'!$A$2:$A$61,0)),"")</f>
        <v/>
      </c>
      <c r="M26" t="str">
        <f>IFERROR(INDEX(Listas!$H$2:$H$4,MATCH(F26,Listas!$G$2:$G$4,0)),"")</f>
        <v/>
      </c>
    </row>
    <row r="27" spans="8:13" x14ac:dyDescent="0.35">
      <c r="H27" t="str">
        <f t="shared" si="0"/>
        <v/>
      </c>
      <c r="I27" t="str">
        <f t="shared" si="1"/>
        <v/>
      </c>
      <c r="J27" t="str">
        <f t="shared" si="2"/>
        <v/>
      </c>
      <c r="K27" t="str">
        <f>IFERROR(INDEX('1.1 Modalidades'!$B$2:$B$61,MATCH(D27,'1.1 Modalidades'!$A$2:$A$61,0)),"")</f>
        <v/>
      </c>
      <c r="L27" t="str">
        <f>IFERROR(INDEX('1.2 Niveis Ensino'!$B$2:$B$61,MATCH(E27,'1.2 Niveis Ensino'!$A$2:$A$61,0)),"")</f>
        <v/>
      </c>
      <c r="M27" t="str">
        <f>IFERROR(INDEX(Listas!$H$2:$H$4,MATCH(F27,Listas!$G$2:$G$4,0)),"")</f>
        <v/>
      </c>
    </row>
    <row r="28" spans="8:13" x14ac:dyDescent="0.35">
      <c r="H28" t="str">
        <f t="shared" si="0"/>
        <v/>
      </c>
      <c r="I28" t="str">
        <f t="shared" si="1"/>
        <v/>
      </c>
      <c r="J28" t="str">
        <f t="shared" si="2"/>
        <v/>
      </c>
      <c r="K28" t="str">
        <f>IFERROR(INDEX('1.1 Modalidades'!$B$2:$B$61,MATCH(D28,'1.1 Modalidades'!$A$2:$A$61,0)),"")</f>
        <v/>
      </c>
      <c r="L28" t="str">
        <f>IFERROR(INDEX('1.2 Niveis Ensino'!$B$2:$B$61,MATCH(E28,'1.2 Niveis Ensino'!$A$2:$A$61,0)),"")</f>
        <v/>
      </c>
      <c r="M28" t="str">
        <f>IFERROR(INDEX(Listas!$H$2:$H$4,MATCH(F28,Listas!$G$2:$G$4,0)),"")</f>
        <v/>
      </c>
    </row>
    <row r="29" spans="8:13" x14ac:dyDescent="0.35">
      <c r="H29" t="str">
        <f t="shared" si="0"/>
        <v/>
      </c>
      <c r="I29" t="str">
        <f t="shared" si="1"/>
        <v/>
      </c>
      <c r="J29" t="str">
        <f t="shared" si="2"/>
        <v/>
      </c>
      <c r="K29" t="str">
        <f>IFERROR(INDEX('1.1 Modalidades'!$B$2:$B$61,MATCH(D29,'1.1 Modalidades'!$A$2:$A$61,0)),"")</f>
        <v/>
      </c>
      <c r="L29" t="str">
        <f>IFERROR(INDEX('1.2 Niveis Ensino'!$B$2:$B$61,MATCH(E29,'1.2 Niveis Ensino'!$A$2:$A$61,0)),"")</f>
        <v/>
      </c>
      <c r="M29" t="str">
        <f>IFERROR(INDEX(Listas!$H$2:$H$4,MATCH(F29,Listas!$G$2:$G$4,0)),"")</f>
        <v/>
      </c>
    </row>
    <row r="30" spans="8:13" x14ac:dyDescent="0.35">
      <c r="H30" t="str">
        <f t="shared" si="0"/>
        <v/>
      </c>
      <c r="I30" t="str">
        <f t="shared" si="1"/>
        <v/>
      </c>
      <c r="J30" t="str">
        <f t="shared" si="2"/>
        <v/>
      </c>
      <c r="K30" t="str">
        <f>IFERROR(INDEX('1.1 Modalidades'!$B$2:$B$61,MATCH(D30,'1.1 Modalidades'!$A$2:$A$61,0)),"")</f>
        <v/>
      </c>
      <c r="L30" t="str">
        <f>IFERROR(INDEX('1.2 Niveis Ensino'!$B$2:$B$61,MATCH(E30,'1.2 Niveis Ensino'!$A$2:$A$61,0)),"")</f>
        <v/>
      </c>
      <c r="M30" t="str">
        <f>IFERROR(INDEX(Listas!$H$2:$H$4,MATCH(F30,Listas!$G$2:$G$4,0)),"")</f>
        <v/>
      </c>
    </row>
    <row r="31" spans="8:13" x14ac:dyDescent="0.35">
      <c r="H31" t="str">
        <f t="shared" si="0"/>
        <v/>
      </c>
      <c r="I31" t="str">
        <f t="shared" si="1"/>
        <v/>
      </c>
      <c r="J31" t="str">
        <f t="shared" si="2"/>
        <v/>
      </c>
      <c r="K31" t="str">
        <f>IFERROR(INDEX('1.1 Modalidades'!$B$2:$B$61,MATCH(D31,'1.1 Modalidades'!$A$2:$A$61,0)),"")</f>
        <v/>
      </c>
      <c r="L31" t="str">
        <f>IFERROR(INDEX('1.2 Niveis Ensino'!$B$2:$B$61,MATCH(E31,'1.2 Niveis Ensino'!$A$2:$A$61,0)),"")</f>
        <v/>
      </c>
      <c r="M31" t="str">
        <f>IFERROR(INDEX(Listas!$H$2:$H$4,MATCH(F31,Listas!$G$2:$G$4,0)),"")</f>
        <v/>
      </c>
    </row>
    <row r="32" spans="8:13" x14ac:dyDescent="0.35">
      <c r="H32" t="str">
        <f t="shared" si="0"/>
        <v/>
      </c>
      <c r="I32" t="str">
        <f t="shared" si="1"/>
        <v/>
      </c>
      <c r="J32" t="str">
        <f t="shared" si="2"/>
        <v/>
      </c>
      <c r="K32" t="str">
        <f>IFERROR(INDEX('1.1 Modalidades'!$B$2:$B$61,MATCH(D32,'1.1 Modalidades'!$A$2:$A$61,0)),"")</f>
        <v/>
      </c>
      <c r="L32" t="str">
        <f>IFERROR(INDEX('1.2 Niveis Ensino'!$B$2:$B$61,MATCH(E32,'1.2 Niveis Ensino'!$A$2:$A$61,0)),"")</f>
        <v/>
      </c>
      <c r="M32" t="str">
        <f>IFERROR(INDEX(Listas!$H$2:$H$4,MATCH(F32,Listas!$G$2:$G$4,0)),"")</f>
        <v/>
      </c>
    </row>
    <row r="33" spans="8:13" x14ac:dyDescent="0.35">
      <c r="H33" t="str">
        <f t="shared" si="0"/>
        <v/>
      </c>
      <c r="I33" t="str">
        <f t="shared" si="1"/>
        <v/>
      </c>
      <c r="J33" t="str">
        <f t="shared" si="2"/>
        <v/>
      </c>
      <c r="K33" t="str">
        <f>IFERROR(INDEX('1.1 Modalidades'!$B$2:$B$61,MATCH(D33,'1.1 Modalidades'!$A$2:$A$61,0)),"")</f>
        <v/>
      </c>
      <c r="L33" t="str">
        <f>IFERROR(INDEX('1.2 Niveis Ensino'!$B$2:$B$61,MATCH(E33,'1.2 Niveis Ensino'!$A$2:$A$61,0)),"")</f>
        <v/>
      </c>
      <c r="M33" t="str">
        <f>IFERROR(INDEX(Listas!$H$2:$H$4,MATCH(F33,Listas!$G$2:$G$4,0)),"")</f>
        <v/>
      </c>
    </row>
    <row r="34" spans="8:13" x14ac:dyDescent="0.35">
      <c r="H34" t="str">
        <f t="shared" ref="H34:H61" si="3">IF(A34="","",A34)</f>
        <v/>
      </c>
      <c r="I34" t="str">
        <f t="shared" ref="I34:I61" si="4">IF(B34="","",B34)</f>
        <v/>
      </c>
      <c r="J34" t="str">
        <f t="shared" ref="J34:J61" si="5">IF(C34="Sim","true",IF(C34="Não","false",""))</f>
        <v/>
      </c>
      <c r="K34" t="str">
        <f>IFERROR(INDEX('1.1 Modalidades'!$B$2:$B$61,MATCH(D34,'1.1 Modalidades'!$A$2:$A$61,0)),"")</f>
        <v/>
      </c>
      <c r="L34" t="str">
        <f>IFERROR(INDEX('1.2 Niveis Ensino'!$B$2:$B$61,MATCH(E34,'1.2 Niveis Ensino'!$A$2:$A$61,0)),"")</f>
        <v/>
      </c>
      <c r="M34" t="str">
        <f>IFERROR(INDEX(Listas!$H$2:$H$4,MATCH(F34,Listas!$G$2:$G$4,0)),"")</f>
        <v/>
      </c>
    </row>
    <row r="35" spans="8:13" x14ac:dyDescent="0.35">
      <c r="H35" t="str">
        <f t="shared" si="3"/>
        <v/>
      </c>
      <c r="I35" t="str">
        <f t="shared" si="4"/>
        <v/>
      </c>
      <c r="J35" t="str">
        <f t="shared" si="5"/>
        <v/>
      </c>
      <c r="K35" t="str">
        <f>IFERROR(INDEX('1.1 Modalidades'!$B$2:$B$61,MATCH(D35,'1.1 Modalidades'!$A$2:$A$61,0)),"")</f>
        <v/>
      </c>
      <c r="L35" t="str">
        <f>IFERROR(INDEX('1.2 Niveis Ensino'!$B$2:$B$61,MATCH(E35,'1.2 Niveis Ensino'!$A$2:$A$61,0)),"")</f>
        <v/>
      </c>
      <c r="M35" t="str">
        <f>IFERROR(INDEX(Listas!$H$2:$H$4,MATCH(F35,Listas!$G$2:$G$4,0)),"")</f>
        <v/>
      </c>
    </row>
    <row r="36" spans="8:13" x14ac:dyDescent="0.35">
      <c r="H36" t="str">
        <f t="shared" si="3"/>
        <v/>
      </c>
      <c r="I36" t="str">
        <f t="shared" si="4"/>
        <v/>
      </c>
      <c r="J36" t="str">
        <f t="shared" si="5"/>
        <v/>
      </c>
      <c r="K36" t="str">
        <f>IFERROR(INDEX('1.1 Modalidades'!$B$2:$B$61,MATCH(D36,'1.1 Modalidades'!$A$2:$A$61,0)),"")</f>
        <v/>
      </c>
      <c r="L36" t="str">
        <f>IFERROR(INDEX('1.2 Niveis Ensino'!$B$2:$B$61,MATCH(E36,'1.2 Niveis Ensino'!$A$2:$A$61,0)),"")</f>
        <v/>
      </c>
      <c r="M36" t="str">
        <f>IFERROR(INDEX(Listas!$H$2:$H$4,MATCH(F36,Listas!$G$2:$G$4,0)),"")</f>
        <v/>
      </c>
    </row>
    <row r="37" spans="8:13" x14ac:dyDescent="0.35">
      <c r="H37" t="str">
        <f t="shared" si="3"/>
        <v/>
      </c>
      <c r="I37" t="str">
        <f t="shared" si="4"/>
        <v/>
      </c>
      <c r="J37" t="str">
        <f t="shared" si="5"/>
        <v/>
      </c>
      <c r="K37" t="str">
        <f>IFERROR(INDEX('1.1 Modalidades'!$B$2:$B$61,MATCH(D37,'1.1 Modalidades'!$A$2:$A$61,0)),"")</f>
        <v/>
      </c>
      <c r="L37" t="str">
        <f>IFERROR(INDEX('1.2 Niveis Ensino'!$B$2:$B$61,MATCH(E37,'1.2 Niveis Ensino'!$A$2:$A$61,0)),"")</f>
        <v/>
      </c>
      <c r="M37" t="str">
        <f>IFERROR(INDEX(Listas!$H$2:$H$4,MATCH(F37,Listas!$G$2:$G$4,0)),"")</f>
        <v/>
      </c>
    </row>
    <row r="38" spans="8:13" x14ac:dyDescent="0.35">
      <c r="H38" t="str">
        <f t="shared" si="3"/>
        <v/>
      </c>
      <c r="I38" t="str">
        <f t="shared" si="4"/>
        <v/>
      </c>
      <c r="J38" t="str">
        <f t="shared" si="5"/>
        <v/>
      </c>
      <c r="K38" t="str">
        <f>IFERROR(INDEX('1.1 Modalidades'!$B$2:$B$61,MATCH(D38,'1.1 Modalidades'!$A$2:$A$61,0)),"")</f>
        <v/>
      </c>
      <c r="L38" t="str">
        <f>IFERROR(INDEX('1.2 Niveis Ensino'!$B$2:$B$61,MATCH(E38,'1.2 Niveis Ensino'!$A$2:$A$61,0)),"")</f>
        <v/>
      </c>
      <c r="M38" t="str">
        <f>IFERROR(INDEX(Listas!$H$2:$H$4,MATCH(F38,Listas!$G$2:$G$4,0)),"")</f>
        <v/>
      </c>
    </row>
    <row r="39" spans="8:13" x14ac:dyDescent="0.35">
      <c r="H39" t="str">
        <f t="shared" si="3"/>
        <v/>
      </c>
      <c r="I39" t="str">
        <f t="shared" si="4"/>
        <v/>
      </c>
      <c r="J39" t="str">
        <f t="shared" si="5"/>
        <v/>
      </c>
      <c r="K39" t="str">
        <f>IFERROR(INDEX('1.1 Modalidades'!$B$2:$B$61,MATCH(D39,'1.1 Modalidades'!$A$2:$A$61,0)),"")</f>
        <v/>
      </c>
      <c r="L39" t="str">
        <f>IFERROR(INDEX('1.2 Niveis Ensino'!$B$2:$B$61,MATCH(E39,'1.2 Niveis Ensino'!$A$2:$A$61,0)),"")</f>
        <v/>
      </c>
      <c r="M39" t="str">
        <f>IFERROR(INDEX(Listas!$H$2:$H$4,MATCH(F39,Listas!$G$2:$G$4,0)),"")</f>
        <v/>
      </c>
    </row>
    <row r="40" spans="8:13" x14ac:dyDescent="0.35">
      <c r="H40" t="str">
        <f t="shared" si="3"/>
        <v/>
      </c>
      <c r="I40" t="str">
        <f t="shared" si="4"/>
        <v/>
      </c>
      <c r="J40" t="str">
        <f t="shared" si="5"/>
        <v/>
      </c>
      <c r="K40" t="str">
        <f>IFERROR(INDEX('1.1 Modalidades'!$B$2:$B$61,MATCH(D40,'1.1 Modalidades'!$A$2:$A$61,0)),"")</f>
        <v/>
      </c>
      <c r="L40" t="str">
        <f>IFERROR(INDEX('1.2 Niveis Ensino'!$B$2:$B$61,MATCH(E40,'1.2 Niveis Ensino'!$A$2:$A$61,0)),"")</f>
        <v/>
      </c>
      <c r="M40" t="str">
        <f>IFERROR(INDEX(Listas!$H$2:$H$4,MATCH(F40,Listas!$G$2:$G$4,0)),"")</f>
        <v/>
      </c>
    </row>
    <row r="41" spans="8:13" x14ac:dyDescent="0.35">
      <c r="H41" t="str">
        <f t="shared" si="3"/>
        <v/>
      </c>
      <c r="I41" t="str">
        <f t="shared" si="4"/>
        <v/>
      </c>
      <c r="J41" t="str">
        <f t="shared" si="5"/>
        <v/>
      </c>
      <c r="K41" t="str">
        <f>IFERROR(INDEX('1.1 Modalidades'!$B$2:$B$61,MATCH(D41,'1.1 Modalidades'!$A$2:$A$61,0)),"")</f>
        <v/>
      </c>
      <c r="L41" t="str">
        <f>IFERROR(INDEX('1.2 Niveis Ensino'!$B$2:$B$61,MATCH(E41,'1.2 Niveis Ensino'!$A$2:$A$61,0)),"")</f>
        <v/>
      </c>
      <c r="M41" t="str">
        <f>IFERROR(INDEX(Listas!$H$2:$H$4,MATCH(F41,Listas!$G$2:$G$4,0)),"")</f>
        <v/>
      </c>
    </row>
    <row r="42" spans="8:13" x14ac:dyDescent="0.35">
      <c r="H42" t="str">
        <f t="shared" si="3"/>
        <v/>
      </c>
      <c r="I42" t="str">
        <f t="shared" si="4"/>
        <v/>
      </c>
      <c r="J42" t="str">
        <f t="shared" si="5"/>
        <v/>
      </c>
      <c r="K42" t="str">
        <f>IFERROR(INDEX('1.1 Modalidades'!$B$2:$B$61,MATCH(D42,'1.1 Modalidades'!$A$2:$A$61,0)),"")</f>
        <v/>
      </c>
      <c r="L42" t="str">
        <f>IFERROR(INDEX('1.2 Niveis Ensino'!$B$2:$B$61,MATCH(E42,'1.2 Niveis Ensino'!$A$2:$A$61,0)),"")</f>
        <v/>
      </c>
      <c r="M42" t="str">
        <f>IFERROR(INDEX(Listas!$H$2:$H$4,MATCH(F42,Listas!$G$2:$G$4,0)),"")</f>
        <v/>
      </c>
    </row>
    <row r="43" spans="8:13" x14ac:dyDescent="0.35">
      <c r="H43" t="str">
        <f t="shared" si="3"/>
        <v/>
      </c>
      <c r="I43" t="str">
        <f t="shared" si="4"/>
        <v/>
      </c>
      <c r="J43" t="str">
        <f t="shared" si="5"/>
        <v/>
      </c>
      <c r="K43" t="str">
        <f>IFERROR(INDEX('1.1 Modalidades'!$B$2:$B$61,MATCH(D43,'1.1 Modalidades'!$A$2:$A$61,0)),"")</f>
        <v/>
      </c>
      <c r="L43" t="str">
        <f>IFERROR(INDEX('1.2 Niveis Ensino'!$B$2:$B$61,MATCH(E43,'1.2 Niveis Ensino'!$A$2:$A$61,0)),"")</f>
        <v/>
      </c>
      <c r="M43" t="str">
        <f>IFERROR(INDEX(Listas!$H$2:$H$4,MATCH(F43,Listas!$G$2:$G$4,0)),"")</f>
        <v/>
      </c>
    </row>
    <row r="44" spans="8:13" x14ac:dyDescent="0.35">
      <c r="H44" t="str">
        <f t="shared" si="3"/>
        <v/>
      </c>
      <c r="I44" t="str">
        <f t="shared" si="4"/>
        <v/>
      </c>
      <c r="J44" t="str">
        <f t="shared" si="5"/>
        <v/>
      </c>
      <c r="K44" t="str">
        <f>IFERROR(INDEX('1.1 Modalidades'!$B$2:$B$61,MATCH(D44,'1.1 Modalidades'!$A$2:$A$61,0)),"")</f>
        <v/>
      </c>
      <c r="L44" t="str">
        <f>IFERROR(INDEX('1.2 Niveis Ensino'!$B$2:$B$61,MATCH(E44,'1.2 Niveis Ensino'!$A$2:$A$61,0)),"")</f>
        <v/>
      </c>
      <c r="M44" t="str">
        <f>IFERROR(INDEX(Listas!$H$2:$H$4,MATCH(F44,Listas!$G$2:$G$4,0)),"")</f>
        <v/>
      </c>
    </row>
    <row r="45" spans="8:13" x14ac:dyDescent="0.35">
      <c r="H45" t="str">
        <f t="shared" si="3"/>
        <v/>
      </c>
      <c r="I45" t="str">
        <f t="shared" si="4"/>
        <v/>
      </c>
      <c r="J45" t="str">
        <f t="shared" si="5"/>
        <v/>
      </c>
      <c r="K45" t="str">
        <f>IFERROR(INDEX('1.1 Modalidades'!$B$2:$B$61,MATCH(D45,'1.1 Modalidades'!$A$2:$A$61,0)),"")</f>
        <v/>
      </c>
      <c r="L45" t="str">
        <f>IFERROR(INDEX('1.2 Niveis Ensino'!$B$2:$B$61,MATCH(E45,'1.2 Niveis Ensino'!$A$2:$A$61,0)),"")</f>
        <v/>
      </c>
      <c r="M45" t="str">
        <f>IFERROR(INDEX(Listas!$H$2:$H$4,MATCH(F45,Listas!$G$2:$G$4,0)),"")</f>
        <v/>
      </c>
    </row>
    <row r="46" spans="8:13" x14ac:dyDescent="0.35">
      <c r="H46" t="str">
        <f t="shared" si="3"/>
        <v/>
      </c>
      <c r="I46" t="str">
        <f t="shared" si="4"/>
        <v/>
      </c>
      <c r="J46" t="str">
        <f t="shared" si="5"/>
        <v/>
      </c>
      <c r="K46" t="str">
        <f>IFERROR(INDEX('1.1 Modalidades'!$B$2:$B$61,MATCH(D46,'1.1 Modalidades'!$A$2:$A$61,0)),"")</f>
        <v/>
      </c>
      <c r="L46" t="str">
        <f>IFERROR(INDEX('1.2 Niveis Ensino'!$B$2:$B$61,MATCH(E46,'1.2 Niveis Ensino'!$A$2:$A$61,0)),"")</f>
        <v/>
      </c>
      <c r="M46" t="str">
        <f>IFERROR(INDEX(Listas!$H$2:$H$4,MATCH(F46,Listas!$G$2:$G$4,0)),"")</f>
        <v/>
      </c>
    </row>
    <row r="47" spans="8:13" x14ac:dyDescent="0.35">
      <c r="H47" t="str">
        <f t="shared" si="3"/>
        <v/>
      </c>
      <c r="I47" t="str">
        <f t="shared" si="4"/>
        <v/>
      </c>
      <c r="J47" t="str">
        <f t="shared" si="5"/>
        <v/>
      </c>
      <c r="K47" t="str">
        <f>IFERROR(INDEX('1.1 Modalidades'!$B$2:$B$61,MATCH(D47,'1.1 Modalidades'!$A$2:$A$61,0)),"")</f>
        <v/>
      </c>
      <c r="L47" t="str">
        <f>IFERROR(INDEX('1.2 Niveis Ensino'!$B$2:$B$61,MATCH(E47,'1.2 Niveis Ensino'!$A$2:$A$61,0)),"")</f>
        <v/>
      </c>
      <c r="M47" t="str">
        <f>IFERROR(INDEX(Listas!$H$2:$H$4,MATCH(F47,Listas!$G$2:$G$4,0)),"")</f>
        <v/>
      </c>
    </row>
    <row r="48" spans="8:13" x14ac:dyDescent="0.35">
      <c r="H48" t="str">
        <f t="shared" si="3"/>
        <v/>
      </c>
      <c r="I48" t="str">
        <f t="shared" si="4"/>
        <v/>
      </c>
      <c r="J48" t="str">
        <f t="shared" si="5"/>
        <v/>
      </c>
      <c r="K48" t="str">
        <f>IFERROR(INDEX('1.1 Modalidades'!$B$2:$B$61,MATCH(D48,'1.1 Modalidades'!$A$2:$A$61,0)),"")</f>
        <v/>
      </c>
      <c r="L48" t="str">
        <f>IFERROR(INDEX('1.2 Niveis Ensino'!$B$2:$B$61,MATCH(E48,'1.2 Niveis Ensino'!$A$2:$A$61,0)),"")</f>
        <v/>
      </c>
      <c r="M48" t="str">
        <f>IFERROR(INDEX(Listas!$H$2:$H$4,MATCH(F48,Listas!$G$2:$G$4,0)),"")</f>
        <v/>
      </c>
    </row>
    <row r="49" spans="8:13" x14ac:dyDescent="0.35">
      <c r="H49" t="str">
        <f t="shared" si="3"/>
        <v/>
      </c>
      <c r="I49" t="str">
        <f t="shared" si="4"/>
        <v/>
      </c>
      <c r="J49" t="str">
        <f t="shared" si="5"/>
        <v/>
      </c>
      <c r="K49" t="str">
        <f>IFERROR(INDEX('1.1 Modalidades'!$B$2:$B$61,MATCH(D49,'1.1 Modalidades'!$A$2:$A$61,0)),"")</f>
        <v/>
      </c>
      <c r="L49" t="str">
        <f>IFERROR(INDEX('1.2 Niveis Ensino'!$B$2:$B$61,MATCH(E49,'1.2 Niveis Ensino'!$A$2:$A$61,0)),"")</f>
        <v/>
      </c>
      <c r="M49" t="str">
        <f>IFERROR(INDEX(Listas!$H$2:$H$4,MATCH(F49,Listas!$G$2:$G$4,0)),"")</f>
        <v/>
      </c>
    </row>
    <row r="50" spans="8:13" x14ac:dyDescent="0.35">
      <c r="H50" t="str">
        <f t="shared" si="3"/>
        <v/>
      </c>
      <c r="I50" t="str">
        <f t="shared" si="4"/>
        <v/>
      </c>
      <c r="J50" t="str">
        <f t="shared" si="5"/>
        <v/>
      </c>
      <c r="K50" t="str">
        <f>IFERROR(INDEX('1.1 Modalidades'!$B$2:$B$61,MATCH(D50,'1.1 Modalidades'!$A$2:$A$61,0)),"")</f>
        <v/>
      </c>
      <c r="L50" t="str">
        <f>IFERROR(INDEX('1.2 Niveis Ensino'!$B$2:$B$61,MATCH(E50,'1.2 Niveis Ensino'!$A$2:$A$61,0)),"")</f>
        <v/>
      </c>
      <c r="M50" t="str">
        <f>IFERROR(INDEX(Listas!$H$2:$H$4,MATCH(F50,Listas!$G$2:$G$4,0)),"")</f>
        <v/>
      </c>
    </row>
    <row r="51" spans="8:13" x14ac:dyDescent="0.35">
      <c r="H51" t="str">
        <f t="shared" si="3"/>
        <v/>
      </c>
      <c r="I51" t="str">
        <f t="shared" si="4"/>
        <v/>
      </c>
      <c r="J51" t="str">
        <f t="shared" si="5"/>
        <v/>
      </c>
      <c r="K51" t="str">
        <f>IFERROR(INDEX('1.1 Modalidades'!$B$2:$B$61,MATCH(D51,'1.1 Modalidades'!$A$2:$A$61,0)),"")</f>
        <v/>
      </c>
      <c r="L51" t="str">
        <f>IFERROR(INDEX('1.2 Niveis Ensino'!$B$2:$B$61,MATCH(E51,'1.2 Niveis Ensino'!$A$2:$A$61,0)),"")</f>
        <v/>
      </c>
      <c r="M51" t="str">
        <f>IFERROR(INDEX(Listas!$H$2:$H$4,MATCH(F51,Listas!$G$2:$G$4,0)),"")</f>
        <v/>
      </c>
    </row>
    <row r="52" spans="8:13" x14ac:dyDescent="0.35">
      <c r="H52" t="str">
        <f t="shared" si="3"/>
        <v/>
      </c>
      <c r="I52" t="str">
        <f t="shared" si="4"/>
        <v/>
      </c>
      <c r="J52" t="str">
        <f t="shared" si="5"/>
        <v/>
      </c>
      <c r="K52" t="str">
        <f>IFERROR(INDEX('1.1 Modalidades'!$B$2:$B$61,MATCH(D52,'1.1 Modalidades'!$A$2:$A$61,0)),"")</f>
        <v/>
      </c>
      <c r="L52" t="str">
        <f>IFERROR(INDEX('1.2 Niveis Ensino'!$B$2:$B$61,MATCH(E52,'1.2 Niveis Ensino'!$A$2:$A$61,0)),"")</f>
        <v/>
      </c>
      <c r="M52" t="str">
        <f>IFERROR(INDEX(Listas!$H$2:$H$4,MATCH(F52,Listas!$G$2:$G$4,0)),"")</f>
        <v/>
      </c>
    </row>
    <row r="53" spans="8:13" x14ac:dyDescent="0.35">
      <c r="H53" t="str">
        <f t="shared" si="3"/>
        <v/>
      </c>
      <c r="I53" t="str">
        <f t="shared" si="4"/>
        <v/>
      </c>
      <c r="J53" t="str">
        <f t="shared" si="5"/>
        <v/>
      </c>
      <c r="K53" t="str">
        <f>IFERROR(INDEX('1.1 Modalidades'!$B$2:$B$61,MATCH(D53,'1.1 Modalidades'!$A$2:$A$61,0)),"")</f>
        <v/>
      </c>
      <c r="L53" t="str">
        <f>IFERROR(INDEX('1.2 Niveis Ensino'!$B$2:$B$61,MATCH(E53,'1.2 Niveis Ensino'!$A$2:$A$61,0)),"")</f>
        <v/>
      </c>
      <c r="M53" t="str">
        <f>IFERROR(INDEX(Listas!$H$2:$H$4,MATCH(F53,Listas!$G$2:$G$4,0)),"")</f>
        <v/>
      </c>
    </row>
    <row r="54" spans="8:13" x14ac:dyDescent="0.35">
      <c r="H54" t="str">
        <f t="shared" si="3"/>
        <v/>
      </c>
      <c r="I54" t="str">
        <f t="shared" si="4"/>
        <v/>
      </c>
      <c r="J54" t="str">
        <f t="shared" si="5"/>
        <v/>
      </c>
      <c r="K54" t="str">
        <f>IFERROR(INDEX('1.1 Modalidades'!$B$2:$B$61,MATCH(D54,'1.1 Modalidades'!$A$2:$A$61,0)),"")</f>
        <v/>
      </c>
      <c r="L54" t="str">
        <f>IFERROR(INDEX('1.2 Niveis Ensino'!$B$2:$B$61,MATCH(E54,'1.2 Niveis Ensino'!$A$2:$A$61,0)),"")</f>
        <v/>
      </c>
      <c r="M54" t="str">
        <f>IFERROR(INDEX(Listas!$H$2:$H$4,MATCH(F54,Listas!$G$2:$G$4,0)),"")</f>
        <v/>
      </c>
    </row>
    <row r="55" spans="8:13" x14ac:dyDescent="0.35">
      <c r="H55" t="str">
        <f t="shared" si="3"/>
        <v/>
      </c>
      <c r="I55" t="str">
        <f t="shared" si="4"/>
        <v/>
      </c>
      <c r="J55" t="str">
        <f t="shared" si="5"/>
        <v/>
      </c>
      <c r="K55" t="str">
        <f>IFERROR(INDEX('1.1 Modalidades'!$B$2:$B$61,MATCH(D55,'1.1 Modalidades'!$A$2:$A$61,0)),"")</f>
        <v/>
      </c>
      <c r="L55" t="str">
        <f>IFERROR(INDEX('1.2 Niveis Ensino'!$B$2:$B$61,MATCH(E55,'1.2 Niveis Ensino'!$A$2:$A$61,0)),"")</f>
        <v/>
      </c>
      <c r="M55" t="str">
        <f>IFERROR(INDEX(Listas!$H$2:$H$4,MATCH(F55,Listas!$G$2:$G$4,0)),"")</f>
        <v/>
      </c>
    </row>
    <row r="56" spans="8:13" x14ac:dyDescent="0.35">
      <c r="H56" t="str">
        <f t="shared" si="3"/>
        <v/>
      </c>
      <c r="I56" t="str">
        <f t="shared" si="4"/>
        <v/>
      </c>
      <c r="J56" t="str">
        <f t="shared" si="5"/>
        <v/>
      </c>
      <c r="K56" t="str">
        <f>IFERROR(INDEX('1.1 Modalidades'!$B$2:$B$61,MATCH(D56,'1.1 Modalidades'!$A$2:$A$61,0)),"")</f>
        <v/>
      </c>
      <c r="L56" t="str">
        <f>IFERROR(INDEX('1.2 Niveis Ensino'!$B$2:$B$61,MATCH(E56,'1.2 Niveis Ensino'!$A$2:$A$61,0)),"")</f>
        <v/>
      </c>
      <c r="M56" t="str">
        <f>IFERROR(INDEX(Listas!$H$2:$H$4,MATCH(F56,Listas!$G$2:$G$4,0)),"")</f>
        <v/>
      </c>
    </row>
    <row r="57" spans="8:13" x14ac:dyDescent="0.35">
      <c r="H57" t="str">
        <f t="shared" si="3"/>
        <v/>
      </c>
      <c r="I57" t="str">
        <f t="shared" si="4"/>
        <v/>
      </c>
      <c r="J57" t="str">
        <f t="shared" si="5"/>
        <v/>
      </c>
      <c r="K57" t="str">
        <f>IFERROR(INDEX('1.1 Modalidades'!$B$2:$B$61,MATCH(D57,'1.1 Modalidades'!$A$2:$A$61,0)),"")</f>
        <v/>
      </c>
      <c r="L57" t="str">
        <f>IFERROR(INDEX('1.2 Niveis Ensino'!$B$2:$B$61,MATCH(E57,'1.2 Niveis Ensino'!$A$2:$A$61,0)),"")</f>
        <v/>
      </c>
      <c r="M57" t="str">
        <f>IFERROR(INDEX(Listas!$H$2:$H$4,MATCH(F57,Listas!$G$2:$G$4,0)),"")</f>
        <v/>
      </c>
    </row>
    <row r="58" spans="8:13" x14ac:dyDescent="0.35">
      <c r="H58" t="str">
        <f t="shared" si="3"/>
        <v/>
      </c>
      <c r="I58" t="str">
        <f t="shared" si="4"/>
        <v/>
      </c>
      <c r="J58" t="str">
        <f t="shared" si="5"/>
        <v/>
      </c>
      <c r="K58" t="str">
        <f>IFERROR(INDEX('1.1 Modalidades'!$B$2:$B$61,MATCH(D58,'1.1 Modalidades'!$A$2:$A$61,0)),"")</f>
        <v/>
      </c>
      <c r="L58" t="str">
        <f>IFERROR(INDEX('1.2 Niveis Ensino'!$B$2:$B$61,MATCH(E58,'1.2 Niveis Ensino'!$A$2:$A$61,0)),"")</f>
        <v/>
      </c>
      <c r="M58" t="str">
        <f>IFERROR(INDEX(Listas!$H$2:$H$4,MATCH(F58,Listas!$G$2:$G$4,0)),"")</f>
        <v/>
      </c>
    </row>
    <row r="59" spans="8:13" x14ac:dyDescent="0.35">
      <c r="H59" t="str">
        <f t="shared" si="3"/>
        <v/>
      </c>
      <c r="I59" t="str">
        <f t="shared" si="4"/>
        <v/>
      </c>
      <c r="J59" t="str">
        <f t="shared" si="5"/>
        <v/>
      </c>
      <c r="K59" t="str">
        <f>IFERROR(INDEX('1.1 Modalidades'!$B$2:$B$61,MATCH(D59,'1.1 Modalidades'!$A$2:$A$61,0)),"")</f>
        <v/>
      </c>
      <c r="L59" t="str">
        <f>IFERROR(INDEX('1.2 Niveis Ensino'!$B$2:$B$61,MATCH(E59,'1.2 Niveis Ensino'!$A$2:$A$61,0)),"")</f>
        <v/>
      </c>
      <c r="M59" t="str">
        <f>IFERROR(INDEX(Listas!$H$2:$H$4,MATCH(F59,Listas!$G$2:$G$4,0)),"")</f>
        <v/>
      </c>
    </row>
    <row r="60" spans="8:13" x14ac:dyDescent="0.35">
      <c r="H60" t="str">
        <f t="shared" si="3"/>
        <v/>
      </c>
      <c r="I60" t="str">
        <f t="shared" si="4"/>
        <v/>
      </c>
      <c r="J60" t="str">
        <f t="shared" si="5"/>
        <v/>
      </c>
      <c r="K60" t="str">
        <f>IFERROR(INDEX('1.1 Modalidades'!$B$2:$B$61,MATCH(D60,'1.1 Modalidades'!$A$2:$A$61,0)),"")</f>
        <v/>
      </c>
      <c r="L60" t="str">
        <f>IFERROR(INDEX('1.2 Niveis Ensino'!$B$2:$B$61,MATCH(E60,'1.2 Niveis Ensino'!$A$2:$A$61,0)),"")</f>
        <v/>
      </c>
      <c r="M60" t="str">
        <f>IFERROR(INDEX(Listas!$H$2:$H$4,MATCH(F60,Listas!$G$2:$G$4,0)),"")</f>
        <v/>
      </c>
    </row>
    <row r="61" spans="8:13" x14ac:dyDescent="0.35">
      <c r="H61" t="str">
        <f t="shared" si="3"/>
        <v/>
      </c>
      <c r="I61" t="str">
        <f t="shared" si="4"/>
        <v/>
      </c>
      <c r="J61" t="str">
        <f t="shared" si="5"/>
        <v/>
      </c>
      <c r="K61" t="str">
        <f>IFERROR(INDEX('1.1 Modalidades'!$B$2:$B$61,MATCH(D61,'1.1 Modalidades'!$A$2:$A$61,0)),"")</f>
        <v/>
      </c>
      <c r="L61" t="str">
        <f>IFERROR(INDEX('1.2 Niveis Ensino'!$B$2:$B$61,MATCH(E61,'1.2 Niveis Ensino'!$A$2:$A$61,0)),"")</f>
        <v/>
      </c>
      <c r="M61" t="str">
        <f>IFERROR(INDEX(Listas!$H$2:$H$4,MATCH(F61,Listas!$G$2:$G$4,0)),"")</f>
        <v/>
      </c>
    </row>
  </sheetData>
  <autoFilter ref="A1:F1"/>
  <conditionalFormatting sqref="A3:A61">
    <cfRule type="expression" dxfId="68" priority="2">
      <formula>AND($A3="",COUNTA($A3:$F3)&gt;0)</formula>
    </cfRule>
  </conditionalFormatting>
  <conditionalFormatting sqref="B3:B61">
    <cfRule type="expression" dxfId="67" priority="3">
      <formula>AND($B3="",COUNTA($A3:$F3)&gt;0)</formula>
    </cfRule>
  </conditionalFormatting>
  <conditionalFormatting sqref="C3:C61">
    <cfRule type="expression" dxfId="66" priority="4">
      <formula>AND($C3="",COUNTA($A3:$F3)&gt;0)</formula>
    </cfRule>
  </conditionalFormatting>
  <conditionalFormatting sqref="D3:D61">
    <cfRule type="expression" dxfId="65" priority="5">
      <formula>AND($D3="",COUNTA($A3:$F3)&gt;0)</formula>
    </cfRule>
  </conditionalFormatting>
  <conditionalFormatting sqref="E3:E61">
    <cfRule type="expression" dxfId="64" priority="6">
      <formula>AND($E3="",COUNTA($A3:$F3)&gt;0)</formula>
    </cfRule>
  </conditionalFormatting>
  <dataValidations count="3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50 caracteres" sqref="A2:A61">
      <formula1>150</formula1>
      <formula2>0</formula2>
    </dataValidation>
    <dataValidation type="list" allowBlank="1" sqref="C2:C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'1.1 Modalidades'!$A$2:$A$61</xm:f>
          </x14:formula1>
          <x14:formula2>
            <xm:f>0</xm:f>
          </x14:formula2>
          <xm:sqref>D2:D61</xm:sqref>
        </x14:dataValidation>
        <x14:dataValidation type="list" allowBlank="1">
          <x14:formula1>
            <xm:f>'1.2 Niveis Ensino'!$A$2:$A$61</xm:f>
          </x14:formula1>
          <x14:formula2>
            <xm:f>0</xm:f>
          </x14:formula2>
          <xm:sqref>E2:E61</xm:sqref>
        </x14:dataValidation>
        <x14:dataValidation type="list" allowBlank="1">
          <x14:formula1>
            <xm:f>Listas!$G$2:$G$4</xm:f>
          </x14:formula1>
          <x14:formula2>
            <xm:f>0</xm:f>
          </x14:formula2>
          <xm:sqref>F2:F61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5623"/>
  </sheetPr>
  <dimension ref="A1:K61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32" customWidth="1"/>
    <col min="2" max="3" width="16" customWidth="1"/>
    <col min="4" max="4" width="10" customWidth="1"/>
    <col min="5" max="5" width="24" customWidth="1"/>
    <col min="7" max="11" width="16" hidden="1" customWidth="1"/>
  </cols>
  <sheetData>
    <row r="1" spans="1:11" ht="31.5" customHeight="1" x14ac:dyDescent="0.35">
      <c r="A1" s="12" t="s">
        <v>31</v>
      </c>
      <c r="B1" s="12" t="s">
        <v>32</v>
      </c>
      <c r="C1" s="12" t="s">
        <v>127</v>
      </c>
      <c r="D1" s="12" t="s">
        <v>44</v>
      </c>
      <c r="E1" s="12" t="s">
        <v>128</v>
      </c>
      <c r="G1" s="10" t="s">
        <v>34</v>
      </c>
      <c r="H1" s="10" t="s">
        <v>35</v>
      </c>
      <c r="I1" s="10" t="s">
        <v>129</v>
      </c>
      <c r="J1" s="10" t="s">
        <v>46</v>
      </c>
      <c r="K1" s="10" t="s">
        <v>130</v>
      </c>
    </row>
    <row r="2" spans="1:11" x14ac:dyDescent="0.35">
      <c r="A2" s="11" t="s">
        <v>131</v>
      </c>
      <c r="B2" s="11" t="s">
        <v>132</v>
      </c>
      <c r="C2" s="11">
        <v>80</v>
      </c>
      <c r="D2" s="11" t="s">
        <v>49</v>
      </c>
      <c r="E2" s="11" t="s">
        <v>47</v>
      </c>
      <c r="G2" t="str">
        <f t="shared" ref="G2:G33" si="0">IF(A2="","",A2)</f>
        <v>Programação Orientada a Objetos</v>
      </c>
      <c r="H2" t="str">
        <f t="shared" ref="H2:H33" si="1">IF(B2="","",B2)</f>
        <v>DISC-001</v>
      </c>
      <c r="I2" s="13">
        <f t="shared" ref="I2:I33" si="2">IF(C2="","",C2)</f>
        <v>80</v>
      </c>
      <c r="J2" t="str">
        <f t="shared" ref="J2:J33" si="3">IF(D2="Sim","true",IF(D2="Não","false",""))</f>
        <v>true</v>
      </c>
      <c r="K2" t="str">
        <f>IFERROR(INDEX('1.3 Categorias Disc'!$B$2:$B$61,MATCH(E2,'1.3 Categorias Disc'!$A$2:$A$61,0)),"")</f>
        <v>CAT-001</v>
      </c>
    </row>
    <row r="3" spans="1:11" x14ac:dyDescent="0.35">
      <c r="G3" t="str">
        <f t="shared" si="0"/>
        <v/>
      </c>
      <c r="H3" t="str">
        <f t="shared" si="1"/>
        <v/>
      </c>
      <c r="I3" t="str">
        <f t="shared" si="2"/>
        <v/>
      </c>
      <c r="J3" t="str">
        <f t="shared" si="3"/>
        <v/>
      </c>
      <c r="K3" t="str">
        <f>IFERROR(INDEX('1.3 Categorias Disc'!$B$2:$B$61,MATCH(E3,'1.3 Categorias Disc'!$A$2:$A$61,0)),"")</f>
        <v/>
      </c>
    </row>
    <row r="4" spans="1:11" x14ac:dyDescent="0.35">
      <c r="G4" t="str">
        <f t="shared" si="0"/>
        <v/>
      </c>
      <c r="H4" t="str">
        <f t="shared" si="1"/>
        <v/>
      </c>
      <c r="I4" t="str">
        <f t="shared" si="2"/>
        <v/>
      </c>
      <c r="J4" t="str">
        <f t="shared" si="3"/>
        <v/>
      </c>
      <c r="K4" t="str">
        <f>IFERROR(INDEX('1.3 Categorias Disc'!$B$2:$B$61,MATCH(E4,'1.3 Categorias Disc'!$A$2:$A$61,0)),"")</f>
        <v/>
      </c>
    </row>
    <row r="5" spans="1:11" x14ac:dyDescent="0.35">
      <c r="G5" t="str">
        <f t="shared" si="0"/>
        <v/>
      </c>
      <c r="H5" t="str">
        <f t="shared" si="1"/>
        <v/>
      </c>
      <c r="I5" t="str">
        <f t="shared" si="2"/>
        <v/>
      </c>
      <c r="J5" t="str">
        <f t="shared" si="3"/>
        <v/>
      </c>
      <c r="K5" t="str">
        <f>IFERROR(INDEX('1.3 Categorias Disc'!$B$2:$B$61,MATCH(E5,'1.3 Categorias Disc'!$A$2:$A$61,0)),"")</f>
        <v/>
      </c>
    </row>
    <row r="6" spans="1:11" x14ac:dyDescent="0.35">
      <c r="G6" t="str">
        <f t="shared" si="0"/>
        <v/>
      </c>
      <c r="H6" t="str">
        <f t="shared" si="1"/>
        <v/>
      </c>
      <c r="I6" t="str">
        <f t="shared" si="2"/>
        <v/>
      </c>
      <c r="J6" t="str">
        <f t="shared" si="3"/>
        <v/>
      </c>
      <c r="K6" t="str">
        <f>IFERROR(INDEX('1.3 Categorias Disc'!$B$2:$B$61,MATCH(E6,'1.3 Categorias Disc'!$A$2:$A$61,0)),"")</f>
        <v/>
      </c>
    </row>
    <row r="7" spans="1:11" x14ac:dyDescent="0.35">
      <c r="G7" t="str">
        <f t="shared" si="0"/>
        <v/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>IFERROR(INDEX('1.3 Categorias Disc'!$B$2:$B$61,MATCH(E7,'1.3 Categorias Disc'!$A$2:$A$61,0)),"")</f>
        <v/>
      </c>
    </row>
    <row r="8" spans="1:11" x14ac:dyDescent="0.35">
      <c r="G8" t="str">
        <f t="shared" si="0"/>
        <v/>
      </c>
      <c r="H8" t="str">
        <f t="shared" si="1"/>
        <v/>
      </c>
      <c r="I8" t="str">
        <f t="shared" si="2"/>
        <v/>
      </c>
      <c r="J8" t="str">
        <f t="shared" si="3"/>
        <v/>
      </c>
      <c r="K8" t="str">
        <f>IFERROR(INDEX('1.3 Categorias Disc'!$B$2:$B$61,MATCH(E8,'1.3 Categorias Disc'!$A$2:$A$61,0)),"")</f>
        <v/>
      </c>
    </row>
    <row r="9" spans="1:11" x14ac:dyDescent="0.35">
      <c r="G9" t="str">
        <f t="shared" si="0"/>
        <v/>
      </c>
      <c r="H9" t="str">
        <f t="shared" si="1"/>
        <v/>
      </c>
      <c r="I9" t="str">
        <f t="shared" si="2"/>
        <v/>
      </c>
      <c r="J9" t="str">
        <f t="shared" si="3"/>
        <v/>
      </c>
      <c r="K9" t="str">
        <f>IFERROR(INDEX('1.3 Categorias Disc'!$B$2:$B$61,MATCH(E9,'1.3 Categorias Disc'!$A$2:$A$61,0)),"")</f>
        <v/>
      </c>
    </row>
    <row r="10" spans="1:11" x14ac:dyDescent="0.35">
      <c r="G10" t="str">
        <f t="shared" si="0"/>
        <v/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>IFERROR(INDEX('1.3 Categorias Disc'!$B$2:$B$61,MATCH(E10,'1.3 Categorias Disc'!$A$2:$A$61,0)),"")</f>
        <v/>
      </c>
    </row>
    <row r="11" spans="1:11" x14ac:dyDescent="0.35">
      <c r="G11" t="str">
        <f t="shared" si="0"/>
        <v/>
      </c>
      <c r="H11" t="str">
        <f t="shared" si="1"/>
        <v/>
      </c>
      <c r="I11" t="str">
        <f t="shared" si="2"/>
        <v/>
      </c>
      <c r="J11" t="str">
        <f t="shared" si="3"/>
        <v/>
      </c>
      <c r="K11" t="str">
        <f>IFERROR(INDEX('1.3 Categorias Disc'!$B$2:$B$61,MATCH(E11,'1.3 Categorias Disc'!$A$2:$A$61,0)),"")</f>
        <v/>
      </c>
    </row>
    <row r="12" spans="1:11" x14ac:dyDescent="0.35"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 t="shared" si="3"/>
        <v/>
      </c>
      <c r="K12" t="str">
        <f>IFERROR(INDEX('1.3 Categorias Disc'!$B$2:$B$61,MATCH(E12,'1.3 Categorias Disc'!$A$2:$A$61,0)),"")</f>
        <v/>
      </c>
    </row>
    <row r="13" spans="1:11" x14ac:dyDescent="0.35"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>IFERROR(INDEX('1.3 Categorias Disc'!$B$2:$B$61,MATCH(E13,'1.3 Categorias Disc'!$A$2:$A$61,0)),"")</f>
        <v/>
      </c>
    </row>
    <row r="14" spans="1:11" x14ac:dyDescent="0.35"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>IFERROR(INDEX('1.3 Categorias Disc'!$B$2:$B$61,MATCH(E14,'1.3 Categorias Disc'!$A$2:$A$61,0)),"")</f>
        <v/>
      </c>
    </row>
    <row r="15" spans="1:11" x14ac:dyDescent="0.35"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 t="shared" si="3"/>
        <v/>
      </c>
      <c r="K15" t="str">
        <f>IFERROR(INDEX('1.3 Categorias Disc'!$B$2:$B$61,MATCH(E15,'1.3 Categorias Disc'!$A$2:$A$61,0)),"")</f>
        <v/>
      </c>
    </row>
    <row r="16" spans="1:11" x14ac:dyDescent="0.35"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>IFERROR(INDEX('1.3 Categorias Disc'!$B$2:$B$61,MATCH(E16,'1.3 Categorias Disc'!$A$2:$A$61,0)),"")</f>
        <v/>
      </c>
    </row>
    <row r="17" spans="7:11" x14ac:dyDescent="0.35">
      <c r="G17" t="str">
        <f t="shared" si="0"/>
        <v/>
      </c>
      <c r="H17" t="str">
        <f t="shared" si="1"/>
        <v/>
      </c>
      <c r="I17" t="str">
        <f t="shared" si="2"/>
        <v/>
      </c>
      <c r="J17" t="str">
        <f t="shared" si="3"/>
        <v/>
      </c>
      <c r="K17" t="str">
        <f>IFERROR(INDEX('1.3 Categorias Disc'!$B$2:$B$61,MATCH(E17,'1.3 Categorias Disc'!$A$2:$A$61,0)),"")</f>
        <v/>
      </c>
    </row>
    <row r="18" spans="7:11" x14ac:dyDescent="0.35"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 t="shared" si="3"/>
        <v/>
      </c>
      <c r="K18" t="str">
        <f>IFERROR(INDEX('1.3 Categorias Disc'!$B$2:$B$61,MATCH(E18,'1.3 Categorias Disc'!$A$2:$A$61,0)),"")</f>
        <v/>
      </c>
    </row>
    <row r="19" spans="7:11" x14ac:dyDescent="0.35"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>IFERROR(INDEX('1.3 Categorias Disc'!$B$2:$B$61,MATCH(E19,'1.3 Categorias Disc'!$A$2:$A$61,0)),"")</f>
        <v/>
      </c>
    </row>
    <row r="20" spans="7:11" x14ac:dyDescent="0.35">
      <c r="G20" t="str">
        <f t="shared" si="0"/>
        <v/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>IFERROR(INDEX('1.3 Categorias Disc'!$B$2:$B$61,MATCH(E20,'1.3 Categorias Disc'!$A$2:$A$61,0)),"")</f>
        <v/>
      </c>
    </row>
    <row r="21" spans="7:11" x14ac:dyDescent="0.35">
      <c r="G21" t="str">
        <f t="shared" si="0"/>
        <v/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>IFERROR(INDEX('1.3 Categorias Disc'!$B$2:$B$61,MATCH(E21,'1.3 Categorias Disc'!$A$2:$A$61,0)),"")</f>
        <v/>
      </c>
    </row>
    <row r="22" spans="7:11" x14ac:dyDescent="0.35">
      <c r="G22" t="str">
        <f t="shared" si="0"/>
        <v/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>IFERROR(INDEX('1.3 Categorias Disc'!$B$2:$B$61,MATCH(E22,'1.3 Categorias Disc'!$A$2:$A$61,0)),"")</f>
        <v/>
      </c>
    </row>
    <row r="23" spans="7:11" x14ac:dyDescent="0.35"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>IFERROR(INDEX('1.3 Categorias Disc'!$B$2:$B$61,MATCH(E23,'1.3 Categorias Disc'!$A$2:$A$61,0)),"")</f>
        <v/>
      </c>
    </row>
    <row r="24" spans="7:11" x14ac:dyDescent="0.35"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>IFERROR(INDEX('1.3 Categorias Disc'!$B$2:$B$61,MATCH(E24,'1.3 Categorias Disc'!$A$2:$A$61,0)),"")</f>
        <v/>
      </c>
    </row>
    <row r="25" spans="7:11" x14ac:dyDescent="0.35"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>IFERROR(INDEX('1.3 Categorias Disc'!$B$2:$B$61,MATCH(E25,'1.3 Categorias Disc'!$A$2:$A$61,0)),"")</f>
        <v/>
      </c>
    </row>
    <row r="26" spans="7:11" x14ac:dyDescent="0.35"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>IFERROR(INDEX('1.3 Categorias Disc'!$B$2:$B$61,MATCH(E26,'1.3 Categorias Disc'!$A$2:$A$61,0)),"")</f>
        <v/>
      </c>
    </row>
    <row r="27" spans="7:11" x14ac:dyDescent="0.35"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/>
      </c>
      <c r="K27" t="str">
        <f>IFERROR(INDEX('1.3 Categorias Disc'!$B$2:$B$61,MATCH(E27,'1.3 Categorias Disc'!$A$2:$A$61,0)),"")</f>
        <v/>
      </c>
    </row>
    <row r="28" spans="7:11" x14ac:dyDescent="0.35"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>IFERROR(INDEX('1.3 Categorias Disc'!$B$2:$B$61,MATCH(E28,'1.3 Categorias Disc'!$A$2:$A$61,0)),"")</f>
        <v/>
      </c>
    </row>
    <row r="29" spans="7:11" x14ac:dyDescent="0.35"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>IFERROR(INDEX('1.3 Categorias Disc'!$B$2:$B$61,MATCH(E29,'1.3 Categorias Disc'!$A$2:$A$61,0)),"")</f>
        <v/>
      </c>
    </row>
    <row r="30" spans="7:11" x14ac:dyDescent="0.35"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/>
      </c>
      <c r="K30" t="str">
        <f>IFERROR(INDEX('1.3 Categorias Disc'!$B$2:$B$61,MATCH(E30,'1.3 Categorias Disc'!$A$2:$A$61,0)),"")</f>
        <v/>
      </c>
    </row>
    <row r="31" spans="7:11" x14ac:dyDescent="0.35"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/>
      </c>
      <c r="K31" t="str">
        <f>IFERROR(INDEX('1.3 Categorias Disc'!$B$2:$B$61,MATCH(E31,'1.3 Categorias Disc'!$A$2:$A$61,0)),"")</f>
        <v/>
      </c>
    </row>
    <row r="32" spans="7:11" x14ac:dyDescent="0.35"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/>
      </c>
      <c r="K32" t="str">
        <f>IFERROR(INDEX('1.3 Categorias Disc'!$B$2:$B$61,MATCH(E32,'1.3 Categorias Disc'!$A$2:$A$61,0)),"")</f>
        <v/>
      </c>
    </row>
    <row r="33" spans="7:11" x14ac:dyDescent="0.35"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>IFERROR(INDEX('1.3 Categorias Disc'!$B$2:$B$61,MATCH(E33,'1.3 Categorias Disc'!$A$2:$A$61,0)),"")</f>
        <v/>
      </c>
    </row>
    <row r="34" spans="7:11" x14ac:dyDescent="0.35">
      <c r="G34" t="str">
        <f t="shared" ref="G34:G61" si="4">IF(A34="","",A34)</f>
        <v/>
      </c>
      <c r="H34" t="str">
        <f t="shared" ref="H34:H61" si="5">IF(B34="","",B34)</f>
        <v/>
      </c>
      <c r="I34" t="str">
        <f t="shared" ref="I34:I61" si="6">IF(C34="","",C34)</f>
        <v/>
      </c>
      <c r="J34" t="str">
        <f t="shared" ref="J34:J61" si="7">IF(D34="Sim","true",IF(D34="Não","false",""))</f>
        <v/>
      </c>
      <c r="K34" t="str">
        <f>IFERROR(INDEX('1.3 Categorias Disc'!$B$2:$B$61,MATCH(E34,'1.3 Categorias Disc'!$A$2:$A$61,0)),"")</f>
        <v/>
      </c>
    </row>
    <row r="35" spans="7:11" x14ac:dyDescent="0.35">
      <c r="G35" t="str">
        <f t="shared" si="4"/>
        <v/>
      </c>
      <c r="H35" t="str">
        <f t="shared" si="5"/>
        <v/>
      </c>
      <c r="I35" t="str">
        <f t="shared" si="6"/>
        <v/>
      </c>
      <c r="J35" t="str">
        <f t="shared" si="7"/>
        <v/>
      </c>
      <c r="K35" t="str">
        <f>IFERROR(INDEX('1.3 Categorias Disc'!$B$2:$B$61,MATCH(E35,'1.3 Categorias Disc'!$A$2:$A$61,0)),"")</f>
        <v/>
      </c>
    </row>
    <row r="36" spans="7:11" x14ac:dyDescent="0.35">
      <c r="G36" t="str">
        <f t="shared" si="4"/>
        <v/>
      </c>
      <c r="H36" t="str">
        <f t="shared" si="5"/>
        <v/>
      </c>
      <c r="I36" t="str">
        <f t="shared" si="6"/>
        <v/>
      </c>
      <c r="J36" t="str">
        <f t="shared" si="7"/>
        <v/>
      </c>
      <c r="K36" t="str">
        <f>IFERROR(INDEX('1.3 Categorias Disc'!$B$2:$B$61,MATCH(E36,'1.3 Categorias Disc'!$A$2:$A$61,0)),"")</f>
        <v/>
      </c>
    </row>
    <row r="37" spans="7:11" x14ac:dyDescent="0.35">
      <c r="G37" t="str">
        <f t="shared" si="4"/>
        <v/>
      </c>
      <c r="H37" t="str">
        <f t="shared" si="5"/>
        <v/>
      </c>
      <c r="I37" t="str">
        <f t="shared" si="6"/>
        <v/>
      </c>
      <c r="J37" t="str">
        <f t="shared" si="7"/>
        <v/>
      </c>
      <c r="K37" t="str">
        <f>IFERROR(INDEX('1.3 Categorias Disc'!$B$2:$B$61,MATCH(E37,'1.3 Categorias Disc'!$A$2:$A$61,0)),"")</f>
        <v/>
      </c>
    </row>
    <row r="38" spans="7:11" x14ac:dyDescent="0.35">
      <c r="G38" t="str">
        <f t="shared" si="4"/>
        <v/>
      </c>
      <c r="H38" t="str">
        <f t="shared" si="5"/>
        <v/>
      </c>
      <c r="I38" t="str">
        <f t="shared" si="6"/>
        <v/>
      </c>
      <c r="J38" t="str">
        <f t="shared" si="7"/>
        <v/>
      </c>
      <c r="K38" t="str">
        <f>IFERROR(INDEX('1.3 Categorias Disc'!$B$2:$B$61,MATCH(E38,'1.3 Categorias Disc'!$A$2:$A$61,0)),"")</f>
        <v/>
      </c>
    </row>
    <row r="39" spans="7:11" x14ac:dyDescent="0.35">
      <c r="G39" t="str">
        <f t="shared" si="4"/>
        <v/>
      </c>
      <c r="H39" t="str">
        <f t="shared" si="5"/>
        <v/>
      </c>
      <c r="I39" t="str">
        <f t="shared" si="6"/>
        <v/>
      </c>
      <c r="J39" t="str">
        <f t="shared" si="7"/>
        <v/>
      </c>
      <c r="K39" t="str">
        <f>IFERROR(INDEX('1.3 Categorias Disc'!$B$2:$B$61,MATCH(E39,'1.3 Categorias Disc'!$A$2:$A$61,0)),"")</f>
        <v/>
      </c>
    </row>
    <row r="40" spans="7:11" x14ac:dyDescent="0.35">
      <c r="G40" t="str">
        <f t="shared" si="4"/>
        <v/>
      </c>
      <c r="H40" t="str">
        <f t="shared" si="5"/>
        <v/>
      </c>
      <c r="I40" t="str">
        <f t="shared" si="6"/>
        <v/>
      </c>
      <c r="J40" t="str">
        <f t="shared" si="7"/>
        <v/>
      </c>
      <c r="K40" t="str">
        <f>IFERROR(INDEX('1.3 Categorias Disc'!$B$2:$B$61,MATCH(E40,'1.3 Categorias Disc'!$A$2:$A$61,0)),"")</f>
        <v/>
      </c>
    </row>
    <row r="41" spans="7:11" x14ac:dyDescent="0.35">
      <c r="G41" t="str">
        <f t="shared" si="4"/>
        <v/>
      </c>
      <c r="H41" t="str">
        <f t="shared" si="5"/>
        <v/>
      </c>
      <c r="I41" t="str">
        <f t="shared" si="6"/>
        <v/>
      </c>
      <c r="J41" t="str">
        <f t="shared" si="7"/>
        <v/>
      </c>
      <c r="K41" t="str">
        <f>IFERROR(INDEX('1.3 Categorias Disc'!$B$2:$B$61,MATCH(E41,'1.3 Categorias Disc'!$A$2:$A$61,0)),"")</f>
        <v/>
      </c>
    </row>
    <row r="42" spans="7:11" x14ac:dyDescent="0.35">
      <c r="G42" t="str">
        <f t="shared" si="4"/>
        <v/>
      </c>
      <c r="H42" t="str">
        <f t="shared" si="5"/>
        <v/>
      </c>
      <c r="I42" t="str">
        <f t="shared" si="6"/>
        <v/>
      </c>
      <c r="J42" t="str">
        <f t="shared" si="7"/>
        <v/>
      </c>
      <c r="K42" t="str">
        <f>IFERROR(INDEX('1.3 Categorias Disc'!$B$2:$B$61,MATCH(E42,'1.3 Categorias Disc'!$A$2:$A$61,0)),"")</f>
        <v/>
      </c>
    </row>
    <row r="43" spans="7:11" x14ac:dyDescent="0.35">
      <c r="G43" t="str">
        <f t="shared" si="4"/>
        <v/>
      </c>
      <c r="H43" t="str">
        <f t="shared" si="5"/>
        <v/>
      </c>
      <c r="I43" t="str">
        <f t="shared" si="6"/>
        <v/>
      </c>
      <c r="J43" t="str">
        <f t="shared" si="7"/>
        <v/>
      </c>
      <c r="K43" t="str">
        <f>IFERROR(INDEX('1.3 Categorias Disc'!$B$2:$B$61,MATCH(E43,'1.3 Categorias Disc'!$A$2:$A$61,0)),"")</f>
        <v/>
      </c>
    </row>
    <row r="44" spans="7:11" x14ac:dyDescent="0.35">
      <c r="G44" t="str">
        <f t="shared" si="4"/>
        <v/>
      </c>
      <c r="H44" t="str">
        <f t="shared" si="5"/>
        <v/>
      </c>
      <c r="I44" t="str">
        <f t="shared" si="6"/>
        <v/>
      </c>
      <c r="J44" t="str">
        <f t="shared" si="7"/>
        <v/>
      </c>
      <c r="K44" t="str">
        <f>IFERROR(INDEX('1.3 Categorias Disc'!$B$2:$B$61,MATCH(E44,'1.3 Categorias Disc'!$A$2:$A$61,0)),"")</f>
        <v/>
      </c>
    </row>
    <row r="45" spans="7:11" x14ac:dyDescent="0.35">
      <c r="G45" t="str">
        <f t="shared" si="4"/>
        <v/>
      </c>
      <c r="H45" t="str">
        <f t="shared" si="5"/>
        <v/>
      </c>
      <c r="I45" t="str">
        <f t="shared" si="6"/>
        <v/>
      </c>
      <c r="J45" t="str">
        <f t="shared" si="7"/>
        <v/>
      </c>
      <c r="K45" t="str">
        <f>IFERROR(INDEX('1.3 Categorias Disc'!$B$2:$B$61,MATCH(E45,'1.3 Categorias Disc'!$A$2:$A$61,0)),"")</f>
        <v/>
      </c>
    </row>
    <row r="46" spans="7:11" x14ac:dyDescent="0.35">
      <c r="G46" t="str">
        <f t="shared" si="4"/>
        <v/>
      </c>
      <c r="H46" t="str">
        <f t="shared" si="5"/>
        <v/>
      </c>
      <c r="I46" t="str">
        <f t="shared" si="6"/>
        <v/>
      </c>
      <c r="J46" t="str">
        <f t="shared" si="7"/>
        <v/>
      </c>
      <c r="K46" t="str">
        <f>IFERROR(INDEX('1.3 Categorias Disc'!$B$2:$B$61,MATCH(E46,'1.3 Categorias Disc'!$A$2:$A$61,0)),"")</f>
        <v/>
      </c>
    </row>
    <row r="47" spans="7:11" x14ac:dyDescent="0.35">
      <c r="G47" t="str">
        <f t="shared" si="4"/>
        <v/>
      </c>
      <c r="H47" t="str">
        <f t="shared" si="5"/>
        <v/>
      </c>
      <c r="I47" t="str">
        <f t="shared" si="6"/>
        <v/>
      </c>
      <c r="J47" t="str">
        <f t="shared" si="7"/>
        <v/>
      </c>
      <c r="K47" t="str">
        <f>IFERROR(INDEX('1.3 Categorias Disc'!$B$2:$B$61,MATCH(E47,'1.3 Categorias Disc'!$A$2:$A$61,0)),"")</f>
        <v/>
      </c>
    </row>
    <row r="48" spans="7:11" x14ac:dyDescent="0.35">
      <c r="G48" t="str">
        <f t="shared" si="4"/>
        <v/>
      </c>
      <c r="H48" t="str">
        <f t="shared" si="5"/>
        <v/>
      </c>
      <c r="I48" t="str">
        <f t="shared" si="6"/>
        <v/>
      </c>
      <c r="J48" t="str">
        <f t="shared" si="7"/>
        <v/>
      </c>
      <c r="K48" t="str">
        <f>IFERROR(INDEX('1.3 Categorias Disc'!$B$2:$B$61,MATCH(E48,'1.3 Categorias Disc'!$A$2:$A$61,0)),"")</f>
        <v/>
      </c>
    </row>
    <row r="49" spans="7:11" x14ac:dyDescent="0.35">
      <c r="G49" t="str">
        <f t="shared" si="4"/>
        <v/>
      </c>
      <c r="H49" t="str">
        <f t="shared" si="5"/>
        <v/>
      </c>
      <c r="I49" t="str">
        <f t="shared" si="6"/>
        <v/>
      </c>
      <c r="J49" t="str">
        <f t="shared" si="7"/>
        <v/>
      </c>
      <c r="K49" t="str">
        <f>IFERROR(INDEX('1.3 Categorias Disc'!$B$2:$B$61,MATCH(E49,'1.3 Categorias Disc'!$A$2:$A$61,0)),"")</f>
        <v/>
      </c>
    </row>
    <row r="50" spans="7:11" x14ac:dyDescent="0.35">
      <c r="G50" t="str">
        <f t="shared" si="4"/>
        <v/>
      </c>
      <c r="H50" t="str">
        <f t="shared" si="5"/>
        <v/>
      </c>
      <c r="I50" t="str">
        <f t="shared" si="6"/>
        <v/>
      </c>
      <c r="J50" t="str">
        <f t="shared" si="7"/>
        <v/>
      </c>
      <c r="K50" t="str">
        <f>IFERROR(INDEX('1.3 Categorias Disc'!$B$2:$B$61,MATCH(E50,'1.3 Categorias Disc'!$A$2:$A$61,0)),"")</f>
        <v/>
      </c>
    </row>
    <row r="51" spans="7:11" x14ac:dyDescent="0.35">
      <c r="G51" t="str">
        <f t="shared" si="4"/>
        <v/>
      </c>
      <c r="H51" t="str">
        <f t="shared" si="5"/>
        <v/>
      </c>
      <c r="I51" t="str">
        <f t="shared" si="6"/>
        <v/>
      </c>
      <c r="J51" t="str">
        <f t="shared" si="7"/>
        <v/>
      </c>
      <c r="K51" t="str">
        <f>IFERROR(INDEX('1.3 Categorias Disc'!$B$2:$B$61,MATCH(E51,'1.3 Categorias Disc'!$A$2:$A$61,0)),"")</f>
        <v/>
      </c>
    </row>
    <row r="52" spans="7:11" x14ac:dyDescent="0.35">
      <c r="G52" t="str">
        <f t="shared" si="4"/>
        <v/>
      </c>
      <c r="H52" t="str">
        <f t="shared" si="5"/>
        <v/>
      </c>
      <c r="I52" t="str">
        <f t="shared" si="6"/>
        <v/>
      </c>
      <c r="J52" t="str">
        <f t="shared" si="7"/>
        <v/>
      </c>
      <c r="K52" t="str">
        <f>IFERROR(INDEX('1.3 Categorias Disc'!$B$2:$B$61,MATCH(E52,'1.3 Categorias Disc'!$A$2:$A$61,0)),"")</f>
        <v/>
      </c>
    </row>
    <row r="53" spans="7:11" x14ac:dyDescent="0.35">
      <c r="G53" t="str">
        <f t="shared" si="4"/>
        <v/>
      </c>
      <c r="H53" t="str">
        <f t="shared" si="5"/>
        <v/>
      </c>
      <c r="I53" t="str">
        <f t="shared" si="6"/>
        <v/>
      </c>
      <c r="J53" t="str">
        <f t="shared" si="7"/>
        <v/>
      </c>
      <c r="K53" t="str">
        <f>IFERROR(INDEX('1.3 Categorias Disc'!$B$2:$B$61,MATCH(E53,'1.3 Categorias Disc'!$A$2:$A$61,0)),"")</f>
        <v/>
      </c>
    </row>
    <row r="54" spans="7:11" x14ac:dyDescent="0.35">
      <c r="G54" t="str">
        <f t="shared" si="4"/>
        <v/>
      </c>
      <c r="H54" t="str">
        <f t="shared" si="5"/>
        <v/>
      </c>
      <c r="I54" t="str">
        <f t="shared" si="6"/>
        <v/>
      </c>
      <c r="J54" t="str">
        <f t="shared" si="7"/>
        <v/>
      </c>
      <c r="K54" t="str">
        <f>IFERROR(INDEX('1.3 Categorias Disc'!$B$2:$B$61,MATCH(E54,'1.3 Categorias Disc'!$A$2:$A$61,0)),"")</f>
        <v/>
      </c>
    </row>
    <row r="55" spans="7:11" x14ac:dyDescent="0.35">
      <c r="G55" t="str">
        <f t="shared" si="4"/>
        <v/>
      </c>
      <c r="H55" t="str">
        <f t="shared" si="5"/>
        <v/>
      </c>
      <c r="I55" t="str">
        <f t="shared" si="6"/>
        <v/>
      </c>
      <c r="J55" t="str">
        <f t="shared" si="7"/>
        <v/>
      </c>
      <c r="K55" t="str">
        <f>IFERROR(INDEX('1.3 Categorias Disc'!$B$2:$B$61,MATCH(E55,'1.3 Categorias Disc'!$A$2:$A$61,0)),"")</f>
        <v/>
      </c>
    </row>
    <row r="56" spans="7:11" x14ac:dyDescent="0.35">
      <c r="G56" t="str">
        <f t="shared" si="4"/>
        <v/>
      </c>
      <c r="H56" t="str">
        <f t="shared" si="5"/>
        <v/>
      </c>
      <c r="I56" t="str">
        <f t="shared" si="6"/>
        <v/>
      </c>
      <c r="J56" t="str">
        <f t="shared" si="7"/>
        <v/>
      </c>
      <c r="K56" t="str">
        <f>IFERROR(INDEX('1.3 Categorias Disc'!$B$2:$B$61,MATCH(E56,'1.3 Categorias Disc'!$A$2:$A$61,0)),"")</f>
        <v/>
      </c>
    </row>
    <row r="57" spans="7:11" x14ac:dyDescent="0.35">
      <c r="G57" t="str">
        <f t="shared" si="4"/>
        <v/>
      </c>
      <c r="H57" t="str">
        <f t="shared" si="5"/>
        <v/>
      </c>
      <c r="I57" t="str">
        <f t="shared" si="6"/>
        <v/>
      </c>
      <c r="J57" t="str">
        <f t="shared" si="7"/>
        <v/>
      </c>
      <c r="K57" t="str">
        <f>IFERROR(INDEX('1.3 Categorias Disc'!$B$2:$B$61,MATCH(E57,'1.3 Categorias Disc'!$A$2:$A$61,0)),"")</f>
        <v/>
      </c>
    </row>
    <row r="58" spans="7:11" x14ac:dyDescent="0.35">
      <c r="G58" t="str">
        <f t="shared" si="4"/>
        <v/>
      </c>
      <c r="H58" t="str">
        <f t="shared" si="5"/>
        <v/>
      </c>
      <c r="I58" t="str">
        <f t="shared" si="6"/>
        <v/>
      </c>
      <c r="J58" t="str">
        <f t="shared" si="7"/>
        <v/>
      </c>
      <c r="K58" t="str">
        <f>IFERROR(INDEX('1.3 Categorias Disc'!$B$2:$B$61,MATCH(E58,'1.3 Categorias Disc'!$A$2:$A$61,0)),"")</f>
        <v/>
      </c>
    </row>
    <row r="59" spans="7:11" x14ac:dyDescent="0.35">
      <c r="G59" t="str">
        <f t="shared" si="4"/>
        <v/>
      </c>
      <c r="H59" t="str">
        <f t="shared" si="5"/>
        <v/>
      </c>
      <c r="I59" t="str">
        <f t="shared" si="6"/>
        <v/>
      </c>
      <c r="J59" t="str">
        <f t="shared" si="7"/>
        <v/>
      </c>
      <c r="K59" t="str">
        <f>IFERROR(INDEX('1.3 Categorias Disc'!$B$2:$B$61,MATCH(E59,'1.3 Categorias Disc'!$A$2:$A$61,0)),"")</f>
        <v/>
      </c>
    </row>
    <row r="60" spans="7:11" x14ac:dyDescent="0.35">
      <c r="G60" t="str">
        <f t="shared" si="4"/>
        <v/>
      </c>
      <c r="H60" t="str">
        <f t="shared" si="5"/>
        <v/>
      </c>
      <c r="I60" t="str">
        <f t="shared" si="6"/>
        <v/>
      </c>
      <c r="J60" t="str">
        <f t="shared" si="7"/>
        <v/>
      </c>
      <c r="K60" t="str">
        <f>IFERROR(INDEX('1.3 Categorias Disc'!$B$2:$B$61,MATCH(E60,'1.3 Categorias Disc'!$A$2:$A$61,0)),"")</f>
        <v/>
      </c>
    </row>
    <row r="61" spans="7:11" x14ac:dyDescent="0.35">
      <c r="G61" t="str">
        <f t="shared" si="4"/>
        <v/>
      </c>
      <c r="H61" t="str">
        <f t="shared" si="5"/>
        <v/>
      </c>
      <c r="I61" t="str">
        <f t="shared" si="6"/>
        <v/>
      </c>
      <c r="J61" t="str">
        <f t="shared" si="7"/>
        <v/>
      </c>
      <c r="K61" t="str">
        <f>IFERROR(INDEX('1.3 Categorias Disc'!$B$2:$B$61,MATCH(E61,'1.3 Categorias Disc'!$A$2:$A$61,0)),"")</f>
        <v/>
      </c>
    </row>
  </sheetData>
  <autoFilter ref="A1:E1"/>
  <conditionalFormatting sqref="A3:A61">
    <cfRule type="expression" dxfId="63" priority="2">
      <formula>AND($A3="",COUNTA($A3:$E3)&gt;0)</formula>
    </cfRule>
  </conditionalFormatting>
  <conditionalFormatting sqref="B3:B61">
    <cfRule type="expression" dxfId="62" priority="3">
      <formula>AND($B3="",COUNTA($A3:$E3)&gt;0)</formula>
    </cfRule>
  </conditionalFormatting>
  <conditionalFormatting sqref="C3:C61">
    <cfRule type="expression" dxfId="61" priority="4">
      <formula>AND($C3="",COUNTA($A3:$E3)&gt;0)</formula>
    </cfRule>
  </conditionalFormatting>
  <conditionalFormatting sqref="D3:D61">
    <cfRule type="expression" dxfId="60" priority="5">
      <formula>AND($D3="",COUNTA($A3:$E3)&gt;0)</formula>
    </cfRule>
  </conditionalFormatting>
  <dataValidations count="4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200 caracteres" sqref="A2:A61">
      <formula1>200</formula1>
      <formula2>0</formula2>
    </dataValidation>
    <dataValidation type="decimal" operator="greaterThanOrEqual" allowBlank="1" error="Informe um número" sqref="C2:C61">
      <formula1>0</formula1>
      <formula2>0</formula2>
    </dataValidation>
    <dataValidation type="list" allowBlank="1" sqref="D2:D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'1.3 Categorias Disc'!$A$2:$A$61</xm:f>
          </x14:formula1>
          <x14:formula2>
            <xm:f>0</xm:f>
          </x14:formula2>
          <xm:sqref>E2:E61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5623"/>
  </sheetPr>
  <dimension ref="A1:O61"/>
  <sheetViews>
    <sheetView zoomScaleNormal="100" workbookViewId="0">
      <pane ySplit="1" topLeftCell="A2" activePane="bottomLeft" state="frozen"/>
      <selection pane="bottomLeft" activeCell="G2" sqref="G2"/>
    </sheetView>
  </sheetViews>
  <sheetFormatPr defaultColWidth="8.54296875" defaultRowHeight="14.5" x14ac:dyDescent="0.35"/>
  <cols>
    <col min="1" max="2" width="16" customWidth="1"/>
    <col min="3" max="3" width="20" customWidth="1"/>
    <col min="4" max="5" width="14" customWidth="1"/>
    <col min="6" max="6" width="10" customWidth="1"/>
    <col min="7" max="7" width="22" customWidth="1"/>
    <col min="9" max="15" width="16" hidden="1" customWidth="1"/>
  </cols>
  <sheetData>
    <row r="1" spans="1:15" ht="31.5" customHeight="1" x14ac:dyDescent="0.35">
      <c r="A1" s="12" t="s">
        <v>31</v>
      </c>
      <c r="B1" s="12" t="s">
        <v>32</v>
      </c>
      <c r="C1" s="12" t="s">
        <v>133</v>
      </c>
      <c r="D1" s="12" t="s">
        <v>134</v>
      </c>
      <c r="E1" s="12" t="s">
        <v>135</v>
      </c>
      <c r="F1" s="12" t="s">
        <v>53</v>
      </c>
      <c r="G1" s="12" t="s">
        <v>136</v>
      </c>
      <c r="I1" s="10" t="s">
        <v>34</v>
      </c>
      <c r="J1" s="10" t="s">
        <v>35</v>
      </c>
      <c r="K1" s="10" t="s">
        <v>137</v>
      </c>
      <c r="L1" s="10" t="s">
        <v>138</v>
      </c>
      <c r="M1" s="10" t="s">
        <v>139</v>
      </c>
      <c r="N1" s="10" t="s">
        <v>46</v>
      </c>
      <c r="O1" s="10" t="s">
        <v>121</v>
      </c>
    </row>
    <row r="2" spans="1:15" x14ac:dyDescent="0.35">
      <c r="A2" s="11" t="s">
        <v>140</v>
      </c>
      <c r="B2" s="11" t="s">
        <v>141</v>
      </c>
      <c r="C2" s="11" t="s">
        <v>49</v>
      </c>
      <c r="D2" s="14" t="s">
        <v>142</v>
      </c>
      <c r="E2" s="14" t="s">
        <v>143</v>
      </c>
      <c r="F2" s="11" t="s">
        <v>49</v>
      </c>
      <c r="G2" s="11" t="s">
        <v>37</v>
      </c>
      <c r="I2" t="str">
        <f t="shared" ref="I2:I33" si="0">IF(A2="","",A2)</f>
        <v>2026.1</v>
      </c>
      <c r="J2" t="str">
        <f t="shared" ref="J2:J33" si="1">IF(B2="","",B2)</f>
        <v>PER-001</v>
      </c>
      <c r="K2" t="str">
        <f t="shared" ref="K2:K33" si="2">IF(C2="Sim","true",IF(C2="Não","false",""))</f>
        <v>true</v>
      </c>
      <c r="L2" t="str">
        <f t="shared" ref="L2:L33" si="3">IF(D2="","",TEXT(D2,"yyyy-mm-dd"))</f>
        <v>yyyy-01-01</v>
      </c>
      <c r="M2" t="str">
        <f t="shared" ref="M2:M33" si="4">IF(E2="","",TEXT(E2,"yyyy-mm-dd"))</f>
        <v>yyyy-06-30</v>
      </c>
      <c r="N2" t="str">
        <f t="shared" ref="N2:N33" si="5">IF(F2="Sim","true",IF(F2="Não","false",""))</f>
        <v>true</v>
      </c>
      <c r="O2" t="str">
        <f>IFERROR(INDEX('1.1 Modalidades'!$B$2:$B$61,MATCH(G2,'1.1 Modalidades'!$A$2:$A$61,0)),"")</f>
        <v>MOD-001</v>
      </c>
    </row>
    <row r="3" spans="1:15" x14ac:dyDescent="0.35">
      <c r="D3" s="15"/>
      <c r="E3" s="15"/>
      <c r="I3" t="str">
        <f t="shared" si="0"/>
        <v/>
      </c>
      <c r="J3" t="str">
        <f t="shared" si="1"/>
        <v/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/>
      </c>
      <c r="O3" t="str">
        <f>IFERROR(INDEX('1.1 Modalidades'!$B$2:$B$61,MATCH(G3,'1.1 Modalidades'!$A$2:$A$61,0)),"")</f>
        <v/>
      </c>
    </row>
    <row r="4" spans="1:15" x14ac:dyDescent="0.35">
      <c r="D4" s="15"/>
      <c r="E4" s="15"/>
      <c r="I4" t="str">
        <f t="shared" si="0"/>
        <v/>
      </c>
      <c r="J4" t="str">
        <f t="shared" si="1"/>
        <v/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/>
      </c>
      <c r="O4" t="str">
        <f>IFERROR(INDEX('1.1 Modalidades'!$B$2:$B$61,MATCH(G4,'1.1 Modalidades'!$A$2:$A$61,0)),"")</f>
        <v/>
      </c>
    </row>
    <row r="5" spans="1:15" x14ac:dyDescent="0.35">
      <c r="D5" s="15"/>
      <c r="E5" s="15"/>
      <c r="I5" t="str">
        <f t="shared" si="0"/>
        <v/>
      </c>
      <c r="J5" t="str">
        <f t="shared" si="1"/>
        <v/>
      </c>
      <c r="K5" t="str">
        <f t="shared" si="2"/>
        <v/>
      </c>
      <c r="L5" t="str">
        <f t="shared" si="3"/>
        <v/>
      </c>
      <c r="M5" t="str">
        <f t="shared" si="4"/>
        <v/>
      </c>
      <c r="N5" t="str">
        <f t="shared" si="5"/>
        <v/>
      </c>
      <c r="O5" t="str">
        <f>IFERROR(INDEX('1.1 Modalidades'!$B$2:$B$61,MATCH(G5,'1.1 Modalidades'!$A$2:$A$61,0)),"")</f>
        <v/>
      </c>
    </row>
    <row r="6" spans="1:15" x14ac:dyDescent="0.35">
      <c r="D6" s="15"/>
      <c r="E6" s="15"/>
      <c r="I6" t="str">
        <f t="shared" si="0"/>
        <v/>
      </c>
      <c r="J6" t="str">
        <f t="shared" si="1"/>
        <v/>
      </c>
      <c r="K6" t="str">
        <f t="shared" si="2"/>
        <v/>
      </c>
      <c r="L6" t="str">
        <f t="shared" si="3"/>
        <v/>
      </c>
      <c r="M6" t="str">
        <f t="shared" si="4"/>
        <v/>
      </c>
      <c r="N6" t="str">
        <f t="shared" si="5"/>
        <v/>
      </c>
      <c r="O6" t="str">
        <f>IFERROR(INDEX('1.1 Modalidades'!$B$2:$B$61,MATCH(G6,'1.1 Modalidades'!$A$2:$A$61,0)),"")</f>
        <v/>
      </c>
    </row>
    <row r="7" spans="1:15" x14ac:dyDescent="0.35">
      <c r="D7" s="15"/>
      <c r="E7" s="15"/>
      <c r="I7" t="str">
        <f t="shared" si="0"/>
        <v/>
      </c>
      <c r="J7" t="str">
        <f t="shared" si="1"/>
        <v/>
      </c>
      <c r="K7" t="str">
        <f t="shared" si="2"/>
        <v/>
      </c>
      <c r="L7" t="str">
        <f t="shared" si="3"/>
        <v/>
      </c>
      <c r="M7" t="str">
        <f t="shared" si="4"/>
        <v/>
      </c>
      <c r="N7" t="str">
        <f t="shared" si="5"/>
        <v/>
      </c>
      <c r="O7" t="str">
        <f>IFERROR(INDEX('1.1 Modalidades'!$B$2:$B$61,MATCH(G7,'1.1 Modalidades'!$A$2:$A$61,0)),"")</f>
        <v/>
      </c>
    </row>
    <row r="8" spans="1:15" x14ac:dyDescent="0.35">
      <c r="D8" s="15"/>
      <c r="E8" s="15"/>
      <c r="I8" t="str">
        <f t="shared" si="0"/>
        <v/>
      </c>
      <c r="J8" t="str">
        <f t="shared" si="1"/>
        <v/>
      </c>
      <c r="K8" t="str">
        <f t="shared" si="2"/>
        <v/>
      </c>
      <c r="L8" t="str">
        <f t="shared" si="3"/>
        <v/>
      </c>
      <c r="M8" t="str">
        <f t="shared" si="4"/>
        <v/>
      </c>
      <c r="N8" t="str">
        <f t="shared" si="5"/>
        <v/>
      </c>
      <c r="O8" t="str">
        <f>IFERROR(INDEX('1.1 Modalidades'!$B$2:$B$61,MATCH(G8,'1.1 Modalidades'!$A$2:$A$61,0)),"")</f>
        <v/>
      </c>
    </row>
    <row r="9" spans="1:15" x14ac:dyDescent="0.35">
      <c r="D9" s="15"/>
      <c r="E9" s="15"/>
      <c r="I9" t="str">
        <f t="shared" si="0"/>
        <v/>
      </c>
      <c r="J9" t="str">
        <f t="shared" si="1"/>
        <v/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/>
      </c>
      <c r="O9" t="str">
        <f>IFERROR(INDEX('1.1 Modalidades'!$B$2:$B$61,MATCH(G9,'1.1 Modalidades'!$A$2:$A$61,0)),"")</f>
        <v/>
      </c>
    </row>
    <row r="10" spans="1:15" x14ac:dyDescent="0.35">
      <c r="D10" s="15"/>
      <c r="E10" s="15"/>
      <c r="I10" t="str">
        <f t="shared" si="0"/>
        <v/>
      </c>
      <c r="J10" t="str">
        <f t="shared" si="1"/>
        <v/>
      </c>
      <c r="K10" t="str">
        <f t="shared" si="2"/>
        <v/>
      </c>
      <c r="L10" t="str">
        <f t="shared" si="3"/>
        <v/>
      </c>
      <c r="M10" t="str">
        <f t="shared" si="4"/>
        <v/>
      </c>
      <c r="N10" t="str">
        <f t="shared" si="5"/>
        <v/>
      </c>
      <c r="O10" t="str">
        <f>IFERROR(INDEX('1.1 Modalidades'!$B$2:$B$61,MATCH(G10,'1.1 Modalidades'!$A$2:$A$61,0)),"")</f>
        <v/>
      </c>
    </row>
    <row r="11" spans="1:15" x14ac:dyDescent="0.35">
      <c r="D11" s="15"/>
      <c r="E11" s="15"/>
      <c r="I11" t="str">
        <f t="shared" si="0"/>
        <v/>
      </c>
      <c r="J11" t="str">
        <f t="shared" si="1"/>
        <v/>
      </c>
      <c r="K11" t="str">
        <f t="shared" si="2"/>
        <v/>
      </c>
      <c r="L11" t="str">
        <f t="shared" si="3"/>
        <v/>
      </c>
      <c r="M11" t="str">
        <f t="shared" si="4"/>
        <v/>
      </c>
      <c r="N11" t="str">
        <f t="shared" si="5"/>
        <v/>
      </c>
      <c r="O11" t="str">
        <f>IFERROR(INDEX('1.1 Modalidades'!$B$2:$B$61,MATCH(G11,'1.1 Modalidades'!$A$2:$A$61,0)),"")</f>
        <v/>
      </c>
    </row>
    <row r="12" spans="1:15" x14ac:dyDescent="0.35">
      <c r="D12" s="15"/>
      <c r="E12" s="15"/>
      <c r="I12" t="str">
        <f t="shared" si="0"/>
        <v/>
      </c>
      <c r="J12" t="str">
        <f t="shared" si="1"/>
        <v/>
      </c>
      <c r="K12" t="str">
        <f t="shared" si="2"/>
        <v/>
      </c>
      <c r="L12" t="str">
        <f t="shared" si="3"/>
        <v/>
      </c>
      <c r="M12" t="str">
        <f t="shared" si="4"/>
        <v/>
      </c>
      <c r="N12" t="str">
        <f t="shared" si="5"/>
        <v/>
      </c>
      <c r="O12" t="str">
        <f>IFERROR(INDEX('1.1 Modalidades'!$B$2:$B$61,MATCH(G12,'1.1 Modalidades'!$A$2:$A$61,0)),"")</f>
        <v/>
      </c>
    </row>
    <row r="13" spans="1:15" x14ac:dyDescent="0.35">
      <c r="D13" s="15"/>
      <c r="E13" s="15"/>
      <c r="I13" t="str">
        <f t="shared" si="0"/>
        <v/>
      </c>
      <c r="J13" t="str">
        <f t="shared" si="1"/>
        <v/>
      </c>
      <c r="K13" t="str">
        <f t="shared" si="2"/>
        <v/>
      </c>
      <c r="L13" t="str">
        <f t="shared" si="3"/>
        <v/>
      </c>
      <c r="M13" t="str">
        <f t="shared" si="4"/>
        <v/>
      </c>
      <c r="N13" t="str">
        <f t="shared" si="5"/>
        <v/>
      </c>
      <c r="O13" t="str">
        <f>IFERROR(INDEX('1.1 Modalidades'!$B$2:$B$61,MATCH(G13,'1.1 Modalidades'!$A$2:$A$61,0)),"")</f>
        <v/>
      </c>
    </row>
    <row r="14" spans="1:15" x14ac:dyDescent="0.35">
      <c r="D14" s="15"/>
      <c r="E14" s="15"/>
      <c r="I14" t="str">
        <f t="shared" si="0"/>
        <v/>
      </c>
      <c r="J14" t="str">
        <f t="shared" si="1"/>
        <v/>
      </c>
      <c r="K14" t="str">
        <f t="shared" si="2"/>
        <v/>
      </c>
      <c r="L14" t="str">
        <f t="shared" si="3"/>
        <v/>
      </c>
      <c r="M14" t="str">
        <f t="shared" si="4"/>
        <v/>
      </c>
      <c r="N14" t="str">
        <f t="shared" si="5"/>
        <v/>
      </c>
      <c r="O14" t="str">
        <f>IFERROR(INDEX('1.1 Modalidades'!$B$2:$B$61,MATCH(G14,'1.1 Modalidades'!$A$2:$A$61,0)),"")</f>
        <v/>
      </c>
    </row>
    <row r="15" spans="1:15" x14ac:dyDescent="0.35">
      <c r="D15" s="15"/>
      <c r="E15" s="15"/>
      <c r="I15" t="str">
        <f t="shared" si="0"/>
        <v/>
      </c>
      <c r="J15" t="str">
        <f t="shared" si="1"/>
        <v/>
      </c>
      <c r="K15" t="str">
        <f t="shared" si="2"/>
        <v/>
      </c>
      <c r="L15" t="str">
        <f t="shared" si="3"/>
        <v/>
      </c>
      <c r="M15" t="str">
        <f t="shared" si="4"/>
        <v/>
      </c>
      <c r="N15" t="str">
        <f t="shared" si="5"/>
        <v/>
      </c>
      <c r="O15" t="str">
        <f>IFERROR(INDEX('1.1 Modalidades'!$B$2:$B$61,MATCH(G15,'1.1 Modalidades'!$A$2:$A$61,0)),"")</f>
        <v/>
      </c>
    </row>
    <row r="16" spans="1:15" x14ac:dyDescent="0.35">
      <c r="D16" s="15"/>
      <c r="E16" s="15"/>
      <c r="I16" t="str">
        <f t="shared" si="0"/>
        <v/>
      </c>
      <c r="J16" t="str">
        <f t="shared" si="1"/>
        <v/>
      </c>
      <c r="K16" t="str">
        <f t="shared" si="2"/>
        <v/>
      </c>
      <c r="L16" t="str">
        <f t="shared" si="3"/>
        <v/>
      </c>
      <c r="M16" t="str">
        <f t="shared" si="4"/>
        <v/>
      </c>
      <c r="N16" t="str">
        <f t="shared" si="5"/>
        <v/>
      </c>
      <c r="O16" t="str">
        <f>IFERROR(INDEX('1.1 Modalidades'!$B$2:$B$61,MATCH(G16,'1.1 Modalidades'!$A$2:$A$61,0)),"")</f>
        <v/>
      </c>
    </row>
    <row r="17" spans="4:15" x14ac:dyDescent="0.35">
      <c r="D17" s="15"/>
      <c r="E17" s="15"/>
      <c r="I17" t="str">
        <f t="shared" si="0"/>
        <v/>
      </c>
      <c r="J17" t="str">
        <f t="shared" si="1"/>
        <v/>
      </c>
      <c r="K17" t="str">
        <f t="shared" si="2"/>
        <v/>
      </c>
      <c r="L17" t="str">
        <f t="shared" si="3"/>
        <v/>
      </c>
      <c r="M17" t="str">
        <f t="shared" si="4"/>
        <v/>
      </c>
      <c r="N17" t="str">
        <f t="shared" si="5"/>
        <v/>
      </c>
      <c r="O17" t="str">
        <f>IFERROR(INDEX('1.1 Modalidades'!$B$2:$B$61,MATCH(G17,'1.1 Modalidades'!$A$2:$A$61,0)),"")</f>
        <v/>
      </c>
    </row>
    <row r="18" spans="4:15" x14ac:dyDescent="0.35">
      <c r="D18" s="15"/>
      <c r="E18" s="15"/>
      <c r="I18" t="str">
        <f t="shared" si="0"/>
        <v/>
      </c>
      <c r="J18" t="str">
        <f t="shared" si="1"/>
        <v/>
      </c>
      <c r="K18" t="str">
        <f t="shared" si="2"/>
        <v/>
      </c>
      <c r="L18" t="str">
        <f t="shared" si="3"/>
        <v/>
      </c>
      <c r="M18" t="str">
        <f t="shared" si="4"/>
        <v/>
      </c>
      <c r="N18" t="str">
        <f t="shared" si="5"/>
        <v/>
      </c>
      <c r="O18" t="str">
        <f>IFERROR(INDEX('1.1 Modalidades'!$B$2:$B$61,MATCH(G18,'1.1 Modalidades'!$A$2:$A$61,0)),"")</f>
        <v/>
      </c>
    </row>
    <row r="19" spans="4:15" x14ac:dyDescent="0.35">
      <c r="D19" s="15"/>
      <c r="E19" s="15"/>
      <c r="I19" t="str">
        <f t="shared" si="0"/>
        <v/>
      </c>
      <c r="J19" t="str">
        <f t="shared" si="1"/>
        <v/>
      </c>
      <c r="K19" t="str">
        <f t="shared" si="2"/>
        <v/>
      </c>
      <c r="L19" t="str">
        <f t="shared" si="3"/>
        <v/>
      </c>
      <c r="M19" t="str">
        <f t="shared" si="4"/>
        <v/>
      </c>
      <c r="N19" t="str">
        <f t="shared" si="5"/>
        <v/>
      </c>
      <c r="O19" t="str">
        <f>IFERROR(INDEX('1.1 Modalidades'!$B$2:$B$61,MATCH(G19,'1.1 Modalidades'!$A$2:$A$61,0)),"")</f>
        <v/>
      </c>
    </row>
    <row r="20" spans="4:15" x14ac:dyDescent="0.35">
      <c r="D20" s="15"/>
      <c r="E20" s="15"/>
      <c r="I20" t="str">
        <f t="shared" si="0"/>
        <v/>
      </c>
      <c r="J20" t="str">
        <f t="shared" si="1"/>
        <v/>
      </c>
      <c r="K20" t="str">
        <f t="shared" si="2"/>
        <v/>
      </c>
      <c r="L20" t="str">
        <f t="shared" si="3"/>
        <v/>
      </c>
      <c r="M20" t="str">
        <f t="shared" si="4"/>
        <v/>
      </c>
      <c r="N20" t="str">
        <f t="shared" si="5"/>
        <v/>
      </c>
      <c r="O20" t="str">
        <f>IFERROR(INDEX('1.1 Modalidades'!$B$2:$B$61,MATCH(G20,'1.1 Modalidades'!$A$2:$A$61,0)),"")</f>
        <v/>
      </c>
    </row>
    <row r="21" spans="4:15" x14ac:dyDescent="0.35">
      <c r="D21" s="15"/>
      <c r="E21" s="15"/>
      <c r="I21" t="str">
        <f t="shared" si="0"/>
        <v/>
      </c>
      <c r="J21" t="str">
        <f t="shared" si="1"/>
        <v/>
      </c>
      <c r="K21" t="str">
        <f t="shared" si="2"/>
        <v/>
      </c>
      <c r="L21" t="str">
        <f t="shared" si="3"/>
        <v/>
      </c>
      <c r="M21" t="str">
        <f t="shared" si="4"/>
        <v/>
      </c>
      <c r="N21" t="str">
        <f t="shared" si="5"/>
        <v/>
      </c>
      <c r="O21" t="str">
        <f>IFERROR(INDEX('1.1 Modalidades'!$B$2:$B$61,MATCH(G21,'1.1 Modalidades'!$A$2:$A$61,0)),"")</f>
        <v/>
      </c>
    </row>
    <row r="22" spans="4:15" x14ac:dyDescent="0.35">
      <c r="D22" s="15"/>
      <c r="E22" s="15"/>
      <c r="I22" t="str">
        <f t="shared" si="0"/>
        <v/>
      </c>
      <c r="J22" t="str">
        <f t="shared" si="1"/>
        <v/>
      </c>
      <c r="K22" t="str">
        <f t="shared" si="2"/>
        <v/>
      </c>
      <c r="L22" t="str">
        <f t="shared" si="3"/>
        <v/>
      </c>
      <c r="M22" t="str">
        <f t="shared" si="4"/>
        <v/>
      </c>
      <c r="N22" t="str">
        <f t="shared" si="5"/>
        <v/>
      </c>
      <c r="O22" t="str">
        <f>IFERROR(INDEX('1.1 Modalidades'!$B$2:$B$61,MATCH(G22,'1.1 Modalidades'!$A$2:$A$61,0)),"")</f>
        <v/>
      </c>
    </row>
    <row r="23" spans="4:15" x14ac:dyDescent="0.35">
      <c r="D23" s="15"/>
      <c r="E23" s="15"/>
      <c r="I23" t="str">
        <f t="shared" si="0"/>
        <v/>
      </c>
      <c r="J23" t="str">
        <f t="shared" si="1"/>
        <v/>
      </c>
      <c r="K23" t="str">
        <f t="shared" si="2"/>
        <v/>
      </c>
      <c r="L23" t="str">
        <f t="shared" si="3"/>
        <v/>
      </c>
      <c r="M23" t="str">
        <f t="shared" si="4"/>
        <v/>
      </c>
      <c r="N23" t="str">
        <f t="shared" si="5"/>
        <v/>
      </c>
      <c r="O23" t="str">
        <f>IFERROR(INDEX('1.1 Modalidades'!$B$2:$B$61,MATCH(G23,'1.1 Modalidades'!$A$2:$A$61,0)),"")</f>
        <v/>
      </c>
    </row>
    <row r="24" spans="4:15" x14ac:dyDescent="0.35">
      <c r="D24" s="15"/>
      <c r="E24" s="15"/>
      <c r="I24" t="str">
        <f t="shared" si="0"/>
        <v/>
      </c>
      <c r="J24" t="str">
        <f t="shared" si="1"/>
        <v/>
      </c>
      <c r="K24" t="str">
        <f t="shared" si="2"/>
        <v/>
      </c>
      <c r="L24" t="str">
        <f t="shared" si="3"/>
        <v/>
      </c>
      <c r="M24" t="str">
        <f t="shared" si="4"/>
        <v/>
      </c>
      <c r="N24" t="str">
        <f t="shared" si="5"/>
        <v/>
      </c>
      <c r="O24" t="str">
        <f>IFERROR(INDEX('1.1 Modalidades'!$B$2:$B$61,MATCH(G24,'1.1 Modalidades'!$A$2:$A$61,0)),"")</f>
        <v/>
      </c>
    </row>
    <row r="25" spans="4:15" x14ac:dyDescent="0.35">
      <c r="D25" s="15"/>
      <c r="E25" s="15"/>
      <c r="I25" t="str">
        <f t="shared" si="0"/>
        <v/>
      </c>
      <c r="J25" t="str">
        <f t="shared" si="1"/>
        <v/>
      </c>
      <c r="K25" t="str">
        <f t="shared" si="2"/>
        <v/>
      </c>
      <c r="L25" t="str">
        <f t="shared" si="3"/>
        <v/>
      </c>
      <c r="M25" t="str">
        <f t="shared" si="4"/>
        <v/>
      </c>
      <c r="N25" t="str">
        <f t="shared" si="5"/>
        <v/>
      </c>
      <c r="O25" t="str">
        <f>IFERROR(INDEX('1.1 Modalidades'!$B$2:$B$61,MATCH(G25,'1.1 Modalidades'!$A$2:$A$61,0)),"")</f>
        <v/>
      </c>
    </row>
    <row r="26" spans="4:15" x14ac:dyDescent="0.35">
      <c r="D26" s="15"/>
      <c r="E26" s="15"/>
      <c r="I26" t="str">
        <f t="shared" si="0"/>
        <v/>
      </c>
      <c r="J26" t="str">
        <f t="shared" si="1"/>
        <v/>
      </c>
      <c r="K26" t="str">
        <f t="shared" si="2"/>
        <v/>
      </c>
      <c r="L26" t="str">
        <f t="shared" si="3"/>
        <v/>
      </c>
      <c r="M26" t="str">
        <f t="shared" si="4"/>
        <v/>
      </c>
      <c r="N26" t="str">
        <f t="shared" si="5"/>
        <v/>
      </c>
      <c r="O26" t="str">
        <f>IFERROR(INDEX('1.1 Modalidades'!$B$2:$B$61,MATCH(G26,'1.1 Modalidades'!$A$2:$A$61,0)),"")</f>
        <v/>
      </c>
    </row>
    <row r="27" spans="4:15" x14ac:dyDescent="0.35">
      <c r="D27" s="15"/>
      <c r="E27" s="15"/>
      <c r="I27" t="str">
        <f t="shared" si="0"/>
        <v/>
      </c>
      <c r="J27" t="str">
        <f t="shared" si="1"/>
        <v/>
      </c>
      <c r="K27" t="str">
        <f t="shared" si="2"/>
        <v/>
      </c>
      <c r="L27" t="str">
        <f t="shared" si="3"/>
        <v/>
      </c>
      <c r="M27" t="str">
        <f t="shared" si="4"/>
        <v/>
      </c>
      <c r="N27" t="str">
        <f t="shared" si="5"/>
        <v/>
      </c>
      <c r="O27" t="str">
        <f>IFERROR(INDEX('1.1 Modalidades'!$B$2:$B$61,MATCH(G27,'1.1 Modalidades'!$A$2:$A$61,0)),"")</f>
        <v/>
      </c>
    </row>
    <row r="28" spans="4:15" x14ac:dyDescent="0.35">
      <c r="D28" s="15"/>
      <c r="E28" s="15"/>
      <c r="I28" t="str">
        <f t="shared" si="0"/>
        <v/>
      </c>
      <c r="J28" t="str">
        <f t="shared" si="1"/>
        <v/>
      </c>
      <c r="K28" t="str">
        <f t="shared" si="2"/>
        <v/>
      </c>
      <c r="L28" t="str">
        <f t="shared" si="3"/>
        <v/>
      </c>
      <c r="M28" t="str">
        <f t="shared" si="4"/>
        <v/>
      </c>
      <c r="N28" t="str">
        <f t="shared" si="5"/>
        <v/>
      </c>
      <c r="O28" t="str">
        <f>IFERROR(INDEX('1.1 Modalidades'!$B$2:$B$61,MATCH(G28,'1.1 Modalidades'!$A$2:$A$61,0)),"")</f>
        <v/>
      </c>
    </row>
    <row r="29" spans="4:15" x14ac:dyDescent="0.35">
      <c r="D29" s="15"/>
      <c r="E29" s="15"/>
      <c r="I29" t="str">
        <f t="shared" si="0"/>
        <v/>
      </c>
      <c r="J29" t="str">
        <f t="shared" si="1"/>
        <v/>
      </c>
      <c r="K29" t="str">
        <f t="shared" si="2"/>
        <v/>
      </c>
      <c r="L29" t="str">
        <f t="shared" si="3"/>
        <v/>
      </c>
      <c r="M29" t="str">
        <f t="shared" si="4"/>
        <v/>
      </c>
      <c r="N29" t="str">
        <f t="shared" si="5"/>
        <v/>
      </c>
      <c r="O29" t="str">
        <f>IFERROR(INDEX('1.1 Modalidades'!$B$2:$B$61,MATCH(G29,'1.1 Modalidades'!$A$2:$A$61,0)),"")</f>
        <v/>
      </c>
    </row>
    <row r="30" spans="4:15" x14ac:dyDescent="0.35">
      <c r="D30" s="15"/>
      <c r="E30" s="15"/>
      <c r="I30" t="str">
        <f t="shared" si="0"/>
        <v/>
      </c>
      <c r="J30" t="str">
        <f t="shared" si="1"/>
        <v/>
      </c>
      <c r="K30" t="str">
        <f t="shared" si="2"/>
        <v/>
      </c>
      <c r="L30" t="str">
        <f t="shared" si="3"/>
        <v/>
      </c>
      <c r="M30" t="str">
        <f t="shared" si="4"/>
        <v/>
      </c>
      <c r="N30" t="str">
        <f t="shared" si="5"/>
        <v/>
      </c>
      <c r="O30" t="str">
        <f>IFERROR(INDEX('1.1 Modalidades'!$B$2:$B$61,MATCH(G30,'1.1 Modalidades'!$A$2:$A$61,0)),"")</f>
        <v/>
      </c>
    </row>
    <row r="31" spans="4:15" x14ac:dyDescent="0.35">
      <c r="D31" s="15"/>
      <c r="E31" s="15"/>
      <c r="I31" t="str">
        <f t="shared" si="0"/>
        <v/>
      </c>
      <c r="J31" t="str">
        <f t="shared" si="1"/>
        <v/>
      </c>
      <c r="K31" t="str">
        <f t="shared" si="2"/>
        <v/>
      </c>
      <c r="L31" t="str">
        <f t="shared" si="3"/>
        <v/>
      </c>
      <c r="M31" t="str">
        <f t="shared" si="4"/>
        <v/>
      </c>
      <c r="N31" t="str">
        <f t="shared" si="5"/>
        <v/>
      </c>
      <c r="O31" t="str">
        <f>IFERROR(INDEX('1.1 Modalidades'!$B$2:$B$61,MATCH(G31,'1.1 Modalidades'!$A$2:$A$61,0)),"")</f>
        <v/>
      </c>
    </row>
    <row r="32" spans="4:15" x14ac:dyDescent="0.35">
      <c r="D32" s="15"/>
      <c r="E32" s="15"/>
      <c r="I32" t="str">
        <f t="shared" si="0"/>
        <v/>
      </c>
      <c r="J32" t="str">
        <f t="shared" si="1"/>
        <v/>
      </c>
      <c r="K32" t="str">
        <f t="shared" si="2"/>
        <v/>
      </c>
      <c r="L32" t="str">
        <f t="shared" si="3"/>
        <v/>
      </c>
      <c r="M32" t="str">
        <f t="shared" si="4"/>
        <v/>
      </c>
      <c r="N32" t="str">
        <f t="shared" si="5"/>
        <v/>
      </c>
      <c r="O32" t="str">
        <f>IFERROR(INDEX('1.1 Modalidades'!$B$2:$B$61,MATCH(G32,'1.1 Modalidades'!$A$2:$A$61,0)),"")</f>
        <v/>
      </c>
    </row>
    <row r="33" spans="4:15" x14ac:dyDescent="0.35">
      <c r="D33" s="15"/>
      <c r="E33" s="15"/>
      <c r="I33" t="str">
        <f t="shared" si="0"/>
        <v/>
      </c>
      <c r="J33" t="str">
        <f t="shared" si="1"/>
        <v/>
      </c>
      <c r="K33" t="str">
        <f t="shared" si="2"/>
        <v/>
      </c>
      <c r="L33" t="str">
        <f t="shared" si="3"/>
        <v/>
      </c>
      <c r="M33" t="str">
        <f t="shared" si="4"/>
        <v/>
      </c>
      <c r="N33" t="str">
        <f t="shared" si="5"/>
        <v/>
      </c>
      <c r="O33" t="str">
        <f>IFERROR(INDEX('1.1 Modalidades'!$B$2:$B$61,MATCH(G33,'1.1 Modalidades'!$A$2:$A$61,0)),"")</f>
        <v/>
      </c>
    </row>
    <row r="34" spans="4:15" x14ac:dyDescent="0.35">
      <c r="D34" s="15"/>
      <c r="E34" s="15"/>
      <c r="I34" t="str">
        <f t="shared" ref="I34:I61" si="6">IF(A34="","",A34)</f>
        <v/>
      </c>
      <c r="J34" t="str">
        <f t="shared" ref="J34:J61" si="7">IF(B34="","",B34)</f>
        <v/>
      </c>
      <c r="K34" t="str">
        <f t="shared" ref="K34:K61" si="8">IF(C34="Sim","true",IF(C34="Não","false",""))</f>
        <v/>
      </c>
      <c r="L34" t="str">
        <f t="shared" ref="L34:L61" si="9">IF(D34="","",TEXT(D34,"yyyy-mm-dd"))</f>
        <v/>
      </c>
      <c r="M34" t="str">
        <f t="shared" ref="M34:M61" si="10">IF(E34="","",TEXT(E34,"yyyy-mm-dd"))</f>
        <v/>
      </c>
      <c r="N34" t="str">
        <f t="shared" ref="N34:N61" si="11">IF(F34="Sim","true",IF(F34="Não","false",""))</f>
        <v/>
      </c>
      <c r="O34" t="str">
        <f>IFERROR(INDEX('1.1 Modalidades'!$B$2:$B$61,MATCH(G34,'1.1 Modalidades'!$A$2:$A$61,0)),"")</f>
        <v/>
      </c>
    </row>
    <row r="35" spans="4:15" x14ac:dyDescent="0.35">
      <c r="D35" s="15"/>
      <c r="E35" s="15"/>
      <c r="I35" t="str">
        <f t="shared" si="6"/>
        <v/>
      </c>
      <c r="J35" t="str">
        <f t="shared" si="7"/>
        <v/>
      </c>
      <c r="K35" t="str">
        <f t="shared" si="8"/>
        <v/>
      </c>
      <c r="L35" t="str">
        <f t="shared" si="9"/>
        <v/>
      </c>
      <c r="M35" t="str">
        <f t="shared" si="10"/>
        <v/>
      </c>
      <c r="N35" t="str">
        <f t="shared" si="11"/>
        <v/>
      </c>
      <c r="O35" t="str">
        <f>IFERROR(INDEX('1.1 Modalidades'!$B$2:$B$61,MATCH(G35,'1.1 Modalidades'!$A$2:$A$61,0)),"")</f>
        <v/>
      </c>
    </row>
    <row r="36" spans="4:15" x14ac:dyDescent="0.35">
      <c r="D36" s="15"/>
      <c r="E36" s="15"/>
      <c r="I36" t="str">
        <f t="shared" si="6"/>
        <v/>
      </c>
      <c r="J36" t="str">
        <f t="shared" si="7"/>
        <v/>
      </c>
      <c r="K36" t="str">
        <f t="shared" si="8"/>
        <v/>
      </c>
      <c r="L36" t="str">
        <f t="shared" si="9"/>
        <v/>
      </c>
      <c r="M36" t="str">
        <f t="shared" si="10"/>
        <v/>
      </c>
      <c r="N36" t="str">
        <f t="shared" si="11"/>
        <v/>
      </c>
      <c r="O36" t="str">
        <f>IFERROR(INDEX('1.1 Modalidades'!$B$2:$B$61,MATCH(G36,'1.1 Modalidades'!$A$2:$A$61,0)),"")</f>
        <v/>
      </c>
    </row>
    <row r="37" spans="4:15" x14ac:dyDescent="0.35">
      <c r="D37" s="15"/>
      <c r="E37" s="15"/>
      <c r="I37" t="str">
        <f t="shared" si="6"/>
        <v/>
      </c>
      <c r="J37" t="str">
        <f t="shared" si="7"/>
        <v/>
      </c>
      <c r="K37" t="str">
        <f t="shared" si="8"/>
        <v/>
      </c>
      <c r="L37" t="str">
        <f t="shared" si="9"/>
        <v/>
      </c>
      <c r="M37" t="str">
        <f t="shared" si="10"/>
        <v/>
      </c>
      <c r="N37" t="str">
        <f t="shared" si="11"/>
        <v/>
      </c>
      <c r="O37" t="str">
        <f>IFERROR(INDEX('1.1 Modalidades'!$B$2:$B$61,MATCH(G37,'1.1 Modalidades'!$A$2:$A$61,0)),"")</f>
        <v/>
      </c>
    </row>
    <row r="38" spans="4:15" x14ac:dyDescent="0.35">
      <c r="D38" s="15"/>
      <c r="E38" s="15"/>
      <c r="I38" t="str">
        <f t="shared" si="6"/>
        <v/>
      </c>
      <c r="J38" t="str">
        <f t="shared" si="7"/>
        <v/>
      </c>
      <c r="K38" t="str">
        <f t="shared" si="8"/>
        <v/>
      </c>
      <c r="L38" t="str">
        <f t="shared" si="9"/>
        <v/>
      </c>
      <c r="M38" t="str">
        <f t="shared" si="10"/>
        <v/>
      </c>
      <c r="N38" t="str">
        <f t="shared" si="11"/>
        <v/>
      </c>
      <c r="O38" t="str">
        <f>IFERROR(INDEX('1.1 Modalidades'!$B$2:$B$61,MATCH(G38,'1.1 Modalidades'!$A$2:$A$61,0)),"")</f>
        <v/>
      </c>
    </row>
    <row r="39" spans="4:15" x14ac:dyDescent="0.35">
      <c r="D39" s="15"/>
      <c r="E39" s="15"/>
      <c r="I39" t="str">
        <f t="shared" si="6"/>
        <v/>
      </c>
      <c r="J39" t="str">
        <f t="shared" si="7"/>
        <v/>
      </c>
      <c r="K39" t="str">
        <f t="shared" si="8"/>
        <v/>
      </c>
      <c r="L39" t="str">
        <f t="shared" si="9"/>
        <v/>
      </c>
      <c r="M39" t="str">
        <f t="shared" si="10"/>
        <v/>
      </c>
      <c r="N39" t="str">
        <f t="shared" si="11"/>
        <v/>
      </c>
      <c r="O39" t="str">
        <f>IFERROR(INDEX('1.1 Modalidades'!$B$2:$B$61,MATCH(G39,'1.1 Modalidades'!$A$2:$A$61,0)),"")</f>
        <v/>
      </c>
    </row>
    <row r="40" spans="4:15" x14ac:dyDescent="0.35">
      <c r="D40" s="15"/>
      <c r="E40" s="15"/>
      <c r="I40" t="str">
        <f t="shared" si="6"/>
        <v/>
      </c>
      <c r="J40" t="str">
        <f t="shared" si="7"/>
        <v/>
      </c>
      <c r="K40" t="str">
        <f t="shared" si="8"/>
        <v/>
      </c>
      <c r="L40" t="str">
        <f t="shared" si="9"/>
        <v/>
      </c>
      <c r="M40" t="str">
        <f t="shared" si="10"/>
        <v/>
      </c>
      <c r="N40" t="str">
        <f t="shared" si="11"/>
        <v/>
      </c>
      <c r="O40" t="str">
        <f>IFERROR(INDEX('1.1 Modalidades'!$B$2:$B$61,MATCH(G40,'1.1 Modalidades'!$A$2:$A$61,0)),"")</f>
        <v/>
      </c>
    </row>
    <row r="41" spans="4:15" x14ac:dyDescent="0.35">
      <c r="D41" s="15"/>
      <c r="E41" s="15"/>
      <c r="I41" t="str">
        <f t="shared" si="6"/>
        <v/>
      </c>
      <c r="J41" t="str">
        <f t="shared" si="7"/>
        <v/>
      </c>
      <c r="K41" t="str">
        <f t="shared" si="8"/>
        <v/>
      </c>
      <c r="L41" t="str">
        <f t="shared" si="9"/>
        <v/>
      </c>
      <c r="M41" t="str">
        <f t="shared" si="10"/>
        <v/>
      </c>
      <c r="N41" t="str">
        <f t="shared" si="11"/>
        <v/>
      </c>
      <c r="O41" t="str">
        <f>IFERROR(INDEX('1.1 Modalidades'!$B$2:$B$61,MATCH(G41,'1.1 Modalidades'!$A$2:$A$61,0)),"")</f>
        <v/>
      </c>
    </row>
    <row r="42" spans="4:15" x14ac:dyDescent="0.35">
      <c r="D42" s="15"/>
      <c r="E42" s="15"/>
      <c r="I42" t="str">
        <f t="shared" si="6"/>
        <v/>
      </c>
      <c r="J42" t="str">
        <f t="shared" si="7"/>
        <v/>
      </c>
      <c r="K42" t="str">
        <f t="shared" si="8"/>
        <v/>
      </c>
      <c r="L42" t="str">
        <f t="shared" si="9"/>
        <v/>
      </c>
      <c r="M42" t="str">
        <f t="shared" si="10"/>
        <v/>
      </c>
      <c r="N42" t="str">
        <f t="shared" si="11"/>
        <v/>
      </c>
      <c r="O42" t="str">
        <f>IFERROR(INDEX('1.1 Modalidades'!$B$2:$B$61,MATCH(G42,'1.1 Modalidades'!$A$2:$A$61,0)),"")</f>
        <v/>
      </c>
    </row>
    <row r="43" spans="4:15" x14ac:dyDescent="0.35">
      <c r="D43" s="15"/>
      <c r="E43" s="15"/>
      <c r="I43" t="str">
        <f t="shared" si="6"/>
        <v/>
      </c>
      <c r="J43" t="str">
        <f t="shared" si="7"/>
        <v/>
      </c>
      <c r="K43" t="str">
        <f t="shared" si="8"/>
        <v/>
      </c>
      <c r="L43" t="str">
        <f t="shared" si="9"/>
        <v/>
      </c>
      <c r="M43" t="str">
        <f t="shared" si="10"/>
        <v/>
      </c>
      <c r="N43" t="str">
        <f t="shared" si="11"/>
        <v/>
      </c>
      <c r="O43" t="str">
        <f>IFERROR(INDEX('1.1 Modalidades'!$B$2:$B$61,MATCH(G43,'1.1 Modalidades'!$A$2:$A$61,0)),"")</f>
        <v/>
      </c>
    </row>
    <row r="44" spans="4:15" x14ac:dyDescent="0.35">
      <c r="D44" s="15"/>
      <c r="E44" s="15"/>
      <c r="I44" t="str">
        <f t="shared" si="6"/>
        <v/>
      </c>
      <c r="J44" t="str">
        <f t="shared" si="7"/>
        <v/>
      </c>
      <c r="K44" t="str">
        <f t="shared" si="8"/>
        <v/>
      </c>
      <c r="L44" t="str">
        <f t="shared" si="9"/>
        <v/>
      </c>
      <c r="M44" t="str">
        <f t="shared" si="10"/>
        <v/>
      </c>
      <c r="N44" t="str">
        <f t="shared" si="11"/>
        <v/>
      </c>
      <c r="O44" t="str">
        <f>IFERROR(INDEX('1.1 Modalidades'!$B$2:$B$61,MATCH(G44,'1.1 Modalidades'!$A$2:$A$61,0)),"")</f>
        <v/>
      </c>
    </row>
    <row r="45" spans="4:15" x14ac:dyDescent="0.35">
      <c r="D45" s="15"/>
      <c r="E45" s="15"/>
      <c r="I45" t="str">
        <f t="shared" si="6"/>
        <v/>
      </c>
      <c r="J45" t="str">
        <f t="shared" si="7"/>
        <v/>
      </c>
      <c r="K45" t="str">
        <f t="shared" si="8"/>
        <v/>
      </c>
      <c r="L45" t="str">
        <f t="shared" si="9"/>
        <v/>
      </c>
      <c r="M45" t="str">
        <f t="shared" si="10"/>
        <v/>
      </c>
      <c r="N45" t="str">
        <f t="shared" si="11"/>
        <v/>
      </c>
      <c r="O45" t="str">
        <f>IFERROR(INDEX('1.1 Modalidades'!$B$2:$B$61,MATCH(G45,'1.1 Modalidades'!$A$2:$A$61,0)),"")</f>
        <v/>
      </c>
    </row>
    <row r="46" spans="4:15" x14ac:dyDescent="0.35">
      <c r="D46" s="15"/>
      <c r="E46" s="15"/>
      <c r="I46" t="str">
        <f t="shared" si="6"/>
        <v/>
      </c>
      <c r="J46" t="str">
        <f t="shared" si="7"/>
        <v/>
      </c>
      <c r="K46" t="str">
        <f t="shared" si="8"/>
        <v/>
      </c>
      <c r="L46" t="str">
        <f t="shared" si="9"/>
        <v/>
      </c>
      <c r="M46" t="str">
        <f t="shared" si="10"/>
        <v/>
      </c>
      <c r="N46" t="str">
        <f t="shared" si="11"/>
        <v/>
      </c>
      <c r="O46" t="str">
        <f>IFERROR(INDEX('1.1 Modalidades'!$B$2:$B$61,MATCH(G46,'1.1 Modalidades'!$A$2:$A$61,0)),"")</f>
        <v/>
      </c>
    </row>
    <row r="47" spans="4:15" x14ac:dyDescent="0.35">
      <c r="D47" s="15"/>
      <c r="E47" s="15"/>
      <c r="I47" t="str">
        <f t="shared" si="6"/>
        <v/>
      </c>
      <c r="J47" t="str">
        <f t="shared" si="7"/>
        <v/>
      </c>
      <c r="K47" t="str">
        <f t="shared" si="8"/>
        <v/>
      </c>
      <c r="L47" t="str">
        <f t="shared" si="9"/>
        <v/>
      </c>
      <c r="M47" t="str">
        <f t="shared" si="10"/>
        <v/>
      </c>
      <c r="N47" t="str">
        <f t="shared" si="11"/>
        <v/>
      </c>
      <c r="O47" t="str">
        <f>IFERROR(INDEX('1.1 Modalidades'!$B$2:$B$61,MATCH(G47,'1.1 Modalidades'!$A$2:$A$61,0)),"")</f>
        <v/>
      </c>
    </row>
    <row r="48" spans="4:15" x14ac:dyDescent="0.35">
      <c r="D48" s="15"/>
      <c r="E48" s="15"/>
      <c r="I48" t="str">
        <f t="shared" si="6"/>
        <v/>
      </c>
      <c r="J48" t="str">
        <f t="shared" si="7"/>
        <v/>
      </c>
      <c r="K48" t="str">
        <f t="shared" si="8"/>
        <v/>
      </c>
      <c r="L48" t="str">
        <f t="shared" si="9"/>
        <v/>
      </c>
      <c r="M48" t="str">
        <f t="shared" si="10"/>
        <v/>
      </c>
      <c r="N48" t="str">
        <f t="shared" si="11"/>
        <v/>
      </c>
      <c r="O48" t="str">
        <f>IFERROR(INDEX('1.1 Modalidades'!$B$2:$B$61,MATCH(G48,'1.1 Modalidades'!$A$2:$A$61,0)),"")</f>
        <v/>
      </c>
    </row>
    <row r="49" spans="4:15" x14ac:dyDescent="0.35">
      <c r="D49" s="15"/>
      <c r="E49" s="15"/>
      <c r="I49" t="str">
        <f t="shared" si="6"/>
        <v/>
      </c>
      <c r="J49" t="str">
        <f t="shared" si="7"/>
        <v/>
      </c>
      <c r="K49" t="str">
        <f t="shared" si="8"/>
        <v/>
      </c>
      <c r="L49" t="str">
        <f t="shared" si="9"/>
        <v/>
      </c>
      <c r="M49" t="str">
        <f t="shared" si="10"/>
        <v/>
      </c>
      <c r="N49" t="str">
        <f t="shared" si="11"/>
        <v/>
      </c>
      <c r="O49" t="str">
        <f>IFERROR(INDEX('1.1 Modalidades'!$B$2:$B$61,MATCH(G49,'1.1 Modalidades'!$A$2:$A$61,0)),"")</f>
        <v/>
      </c>
    </row>
    <row r="50" spans="4:15" x14ac:dyDescent="0.35">
      <c r="D50" s="15"/>
      <c r="E50" s="15"/>
      <c r="I50" t="str">
        <f t="shared" si="6"/>
        <v/>
      </c>
      <c r="J50" t="str">
        <f t="shared" si="7"/>
        <v/>
      </c>
      <c r="K50" t="str">
        <f t="shared" si="8"/>
        <v/>
      </c>
      <c r="L50" t="str">
        <f t="shared" si="9"/>
        <v/>
      </c>
      <c r="M50" t="str">
        <f t="shared" si="10"/>
        <v/>
      </c>
      <c r="N50" t="str">
        <f t="shared" si="11"/>
        <v/>
      </c>
      <c r="O50" t="str">
        <f>IFERROR(INDEX('1.1 Modalidades'!$B$2:$B$61,MATCH(G50,'1.1 Modalidades'!$A$2:$A$61,0)),"")</f>
        <v/>
      </c>
    </row>
    <row r="51" spans="4:15" x14ac:dyDescent="0.35">
      <c r="D51" s="15"/>
      <c r="E51" s="15"/>
      <c r="I51" t="str">
        <f t="shared" si="6"/>
        <v/>
      </c>
      <c r="J51" t="str">
        <f t="shared" si="7"/>
        <v/>
      </c>
      <c r="K51" t="str">
        <f t="shared" si="8"/>
        <v/>
      </c>
      <c r="L51" t="str">
        <f t="shared" si="9"/>
        <v/>
      </c>
      <c r="M51" t="str">
        <f t="shared" si="10"/>
        <v/>
      </c>
      <c r="N51" t="str">
        <f t="shared" si="11"/>
        <v/>
      </c>
      <c r="O51" t="str">
        <f>IFERROR(INDEX('1.1 Modalidades'!$B$2:$B$61,MATCH(G51,'1.1 Modalidades'!$A$2:$A$61,0)),"")</f>
        <v/>
      </c>
    </row>
    <row r="52" spans="4:15" x14ac:dyDescent="0.35">
      <c r="D52" s="15"/>
      <c r="E52" s="15"/>
      <c r="I52" t="str">
        <f t="shared" si="6"/>
        <v/>
      </c>
      <c r="J52" t="str">
        <f t="shared" si="7"/>
        <v/>
      </c>
      <c r="K52" t="str">
        <f t="shared" si="8"/>
        <v/>
      </c>
      <c r="L52" t="str">
        <f t="shared" si="9"/>
        <v/>
      </c>
      <c r="M52" t="str">
        <f t="shared" si="10"/>
        <v/>
      </c>
      <c r="N52" t="str">
        <f t="shared" si="11"/>
        <v/>
      </c>
      <c r="O52" t="str">
        <f>IFERROR(INDEX('1.1 Modalidades'!$B$2:$B$61,MATCH(G52,'1.1 Modalidades'!$A$2:$A$61,0)),"")</f>
        <v/>
      </c>
    </row>
    <row r="53" spans="4:15" x14ac:dyDescent="0.35">
      <c r="D53" s="15"/>
      <c r="E53" s="15"/>
      <c r="I53" t="str">
        <f t="shared" si="6"/>
        <v/>
      </c>
      <c r="J53" t="str">
        <f t="shared" si="7"/>
        <v/>
      </c>
      <c r="K53" t="str">
        <f t="shared" si="8"/>
        <v/>
      </c>
      <c r="L53" t="str">
        <f t="shared" si="9"/>
        <v/>
      </c>
      <c r="M53" t="str">
        <f t="shared" si="10"/>
        <v/>
      </c>
      <c r="N53" t="str">
        <f t="shared" si="11"/>
        <v/>
      </c>
      <c r="O53" t="str">
        <f>IFERROR(INDEX('1.1 Modalidades'!$B$2:$B$61,MATCH(G53,'1.1 Modalidades'!$A$2:$A$61,0)),"")</f>
        <v/>
      </c>
    </row>
    <row r="54" spans="4:15" x14ac:dyDescent="0.35">
      <c r="D54" s="15"/>
      <c r="E54" s="15"/>
      <c r="I54" t="str">
        <f t="shared" si="6"/>
        <v/>
      </c>
      <c r="J54" t="str">
        <f t="shared" si="7"/>
        <v/>
      </c>
      <c r="K54" t="str">
        <f t="shared" si="8"/>
        <v/>
      </c>
      <c r="L54" t="str">
        <f t="shared" si="9"/>
        <v/>
      </c>
      <c r="M54" t="str">
        <f t="shared" si="10"/>
        <v/>
      </c>
      <c r="N54" t="str">
        <f t="shared" si="11"/>
        <v/>
      </c>
      <c r="O54" t="str">
        <f>IFERROR(INDEX('1.1 Modalidades'!$B$2:$B$61,MATCH(G54,'1.1 Modalidades'!$A$2:$A$61,0)),"")</f>
        <v/>
      </c>
    </row>
    <row r="55" spans="4:15" x14ac:dyDescent="0.35">
      <c r="D55" s="15"/>
      <c r="E55" s="15"/>
      <c r="I55" t="str">
        <f t="shared" si="6"/>
        <v/>
      </c>
      <c r="J55" t="str">
        <f t="shared" si="7"/>
        <v/>
      </c>
      <c r="K55" t="str">
        <f t="shared" si="8"/>
        <v/>
      </c>
      <c r="L55" t="str">
        <f t="shared" si="9"/>
        <v/>
      </c>
      <c r="M55" t="str">
        <f t="shared" si="10"/>
        <v/>
      </c>
      <c r="N55" t="str">
        <f t="shared" si="11"/>
        <v/>
      </c>
      <c r="O55" t="str">
        <f>IFERROR(INDEX('1.1 Modalidades'!$B$2:$B$61,MATCH(G55,'1.1 Modalidades'!$A$2:$A$61,0)),"")</f>
        <v/>
      </c>
    </row>
    <row r="56" spans="4:15" x14ac:dyDescent="0.35">
      <c r="D56" s="15"/>
      <c r="E56" s="15"/>
      <c r="I56" t="str">
        <f t="shared" si="6"/>
        <v/>
      </c>
      <c r="J56" t="str">
        <f t="shared" si="7"/>
        <v/>
      </c>
      <c r="K56" t="str">
        <f t="shared" si="8"/>
        <v/>
      </c>
      <c r="L56" t="str">
        <f t="shared" si="9"/>
        <v/>
      </c>
      <c r="M56" t="str">
        <f t="shared" si="10"/>
        <v/>
      </c>
      <c r="N56" t="str">
        <f t="shared" si="11"/>
        <v/>
      </c>
      <c r="O56" t="str">
        <f>IFERROR(INDEX('1.1 Modalidades'!$B$2:$B$61,MATCH(G56,'1.1 Modalidades'!$A$2:$A$61,0)),"")</f>
        <v/>
      </c>
    </row>
    <row r="57" spans="4:15" x14ac:dyDescent="0.35">
      <c r="D57" s="15"/>
      <c r="E57" s="15"/>
      <c r="I57" t="str">
        <f t="shared" si="6"/>
        <v/>
      </c>
      <c r="J57" t="str">
        <f t="shared" si="7"/>
        <v/>
      </c>
      <c r="K57" t="str">
        <f t="shared" si="8"/>
        <v/>
      </c>
      <c r="L57" t="str">
        <f t="shared" si="9"/>
        <v/>
      </c>
      <c r="M57" t="str">
        <f t="shared" si="10"/>
        <v/>
      </c>
      <c r="N57" t="str">
        <f t="shared" si="11"/>
        <v/>
      </c>
      <c r="O57" t="str">
        <f>IFERROR(INDEX('1.1 Modalidades'!$B$2:$B$61,MATCH(G57,'1.1 Modalidades'!$A$2:$A$61,0)),"")</f>
        <v/>
      </c>
    </row>
    <row r="58" spans="4:15" x14ac:dyDescent="0.35">
      <c r="D58" s="15"/>
      <c r="E58" s="15"/>
      <c r="I58" t="str">
        <f t="shared" si="6"/>
        <v/>
      </c>
      <c r="J58" t="str">
        <f t="shared" si="7"/>
        <v/>
      </c>
      <c r="K58" t="str">
        <f t="shared" si="8"/>
        <v/>
      </c>
      <c r="L58" t="str">
        <f t="shared" si="9"/>
        <v/>
      </c>
      <c r="M58" t="str">
        <f t="shared" si="10"/>
        <v/>
      </c>
      <c r="N58" t="str">
        <f t="shared" si="11"/>
        <v/>
      </c>
      <c r="O58" t="str">
        <f>IFERROR(INDEX('1.1 Modalidades'!$B$2:$B$61,MATCH(G58,'1.1 Modalidades'!$A$2:$A$61,0)),"")</f>
        <v/>
      </c>
    </row>
    <row r="59" spans="4:15" x14ac:dyDescent="0.35">
      <c r="D59" s="15"/>
      <c r="E59" s="15"/>
      <c r="I59" t="str">
        <f t="shared" si="6"/>
        <v/>
      </c>
      <c r="J59" t="str">
        <f t="shared" si="7"/>
        <v/>
      </c>
      <c r="K59" t="str">
        <f t="shared" si="8"/>
        <v/>
      </c>
      <c r="L59" t="str">
        <f t="shared" si="9"/>
        <v/>
      </c>
      <c r="M59" t="str">
        <f t="shared" si="10"/>
        <v/>
      </c>
      <c r="N59" t="str">
        <f t="shared" si="11"/>
        <v/>
      </c>
      <c r="O59" t="str">
        <f>IFERROR(INDEX('1.1 Modalidades'!$B$2:$B$61,MATCH(G59,'1.1 Modalidades'!$A$2:$A$61,0)),"")</f>
        <v/>
      </c>
    </row>
    <row r="60" spans="4:15" x14ac:dyDescent="0.35">
      <c r="D60" s="15"/>
      <c r="E60" s="15"/>
      <c r="I60" t="str">
        <f t="shared" si="6"/>
        <v/>
      </c>
      <c r="J60" t="str">
        <f t="shared" si="7"/>
        <v/>
      </c>
      <c r="K60" t="str">
        <f t="shared" si="8"/>
        <v/>
      </c>
      <c r="L60" t="str">
        <f t="shared" si="9"/>
        <v/>
      </c>
      <c r="M60" t="str">
        <f t="shared" si="10"/>
        <v/>
      </c>
      <c r="N60" t="str">
        <f t="shared" si="11"/>
        <v/>
      </c>
      <c r="O60" t="str">
        <f>IFERROR(INDEX('1.1 Modalidades'!$B$2:$B$61,MATCH(G60,'1.1 Modalidades'!$A$2:$A$61,0)),"")</f>
        <v/>
      </c>
    </row>
    <row r="61" spans="4:15" x14ac:dyDescent="0.35">
      <c r="D61" s="15"/>
      <c r="E61" s="15"/>
      <c r="I61" t="str">
        <f t="shared" si="6"/>
        <v/>
      </c>
      <c r="J61" t="str">
        <f t="shared" si="7"/>
        <v/>
      </c>
      <c r="K61" t="str">
        <f t="shared" si="8"/>
        <v/>
      </c>
      <c r="L61" t="str">
        <f t="shared" si="9"/>
        <v/>
      </c>
      <c r="M61" t="str">
        <f t="shared" si="10"/>
        <v/>
      </c>
      <c r="N61" t="str">
        <f t="shared" si="11"/>
        <v/>
      </c>
      <c r="O61" t="str">
        <f>IFERROR(INDEX('1.1 Modalidades'!$B$2:$B$61,MATCH(G61,'1.1 Modalidades'!$A$2:$A$61,0)),"")</f>
        <v/>
      </c>
    </row>
  </sheetData>
  <autoFilter ref="A1:G1"/>
  <conditionalFormatting sqref="A3:A61">
    <cfRule type="expression" dxfId="59" priority="2">
      <formula>AND($A3="",COUNTA($A3:$G3)&gt;0)</formula>
    </cfRule>
  </conditionalFormatting>
  <conditionalFormatting sqref="B3:B61">
    <cfRule type="expression" dxfId="58" priority="3">
      <formula>AND($B3="",COUNTA($A3:$G3)&gt;0)</formula>
    </cfRule>
  </conditionalFormatting>
  <conditionalFormatting sqref="C3:C61">
    <cfRule type="expression" dxfId="57" priority="4">
      <formula>AND($C3="",COUNTA($A3:$G3)&gt;0)</formula>
    </cfRule>
  </conditionalFormatting>
  <conditionalFormatting sqref="F3:F61">
    <cfRule type="expression" dxfId="56" priority="5">
      <formula>AND($F3="",COUNTA($A3:$G3)&gt;0)</formula>
    </cfRule>
  </conditionalFormatting>
  <dataValidations count="3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00 caracteres" sqref="A2:A61">
      <formula1>100</formula1>
      <formula2>0</formula2>
    </dataValidation>
    <dataValidation type="list" allowBlank="1" sqref="C2:C61 F2:F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'1.1 Modalidades'!$A$2:$A$61</xm:f>
          </x14:formula1>
          <x14:formula2>
            <xm:f>0</xm:f>
          </x14:formula2>
          <xm:sqref>G2:G61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5623"/>
  </sheetPr>
  <dimension ref="A1:O61"/>
  <sheetViews>
    <sheetView zoomScaleNormal="100" workbookViewId="0">
      <pane ySplit="1" topLeftCell="A2" activePane="bottomLeft" state="frozen"/>
      <selection pane="bottomLeft" activeCell="B4" sqref="B4"/>
    </sheetView>
  </sheetViews>
  <sheetFormatPr defaultColWidth="8.54296875" defaultRowHeight="14.5" x14ac:dyDescent="0.35"/>
  <cols>
    <col min="1" max="1" width="26" customWidth="1"/>
    <col min="2" max="2" width="28" customWidth="1"/>
    <col min="3" max="3" width="14" customWidth="1"/>
    <col min="4" max="6" width="16" customWidth="1"/>
    <col min="7" max="7" width="10" customWidth="1"/>
    <col min="9" max="15" width="16" hidden="1" customWidth="1"/>
  </cols>
  <sheetData>
    <row r="1" spans="1:15" ht="31.5" customHeight="1" x14ac:dyDescent="0.35">
      <c r="A1" s="12" t="s">
        <v>144</v>
      </c>
      <c r="B1" s="12" t="s">
        <v>31</v>
      </c>
      <c r="C1" s="12" t="s">
        <v>32</v>
      </c>
      <c r="D1" s="12" t="s">
        <v>127</v>
      </c>
      <c r="E1" s="12" t="s">
        <v>145</v>
      </c>
      <c r="F1" s="12" t="s">
        <v>146</v>
      </c>
      <c r="G1" s="12" t="s">
        <v>147</v>
      </c>
      <c r="I1" s="10" t="s">
        <v>148</v>
      </c>
      <c r="J1" s="10" t="s">
        <v>34</v>
      </c>
      <c r="K1" s="10" t="s">
        <v>35</v>
      </c>
      <c r="L1" s="10" t="s">
        <v>129</v>
      </c>
      <c r="M1" s="10" t="s">
        <v>138</v>
      </c>
      <c r="N1" s="10" t="s">
        <v>139</v>
      </c>
      <c r="O1" s="10" t="s">
        <v>46</v>
      </c>
    </row>
    <row r="2" spans="1:15" x14ac:dyDescent="0.35">
      <c r="A2" s="11" t="s">
        <v>124</v>
      </c>
      <c r="B2" s="11" t="s">
        <v>149</v>
      </c>
      <c r="C2" s="11" t="s">
        <v>150</v>
      </c>
      <c r="D2" s="11">
        <v>3000</v>
      </c>
      <c r="E2" s="14" t="s">
        <v>142</v>
      </c>
      <c r="F2" s="14"/>
      <c r="G2" s="11" t="s">
        <v>49</v>
      </c>
      <c r="I2" t="str">
        <f>IFERROR(INDEX('2.1 Cursos'!$B$2:$B$61,MATCH(A2,'2.1 Cursos'!$A$2:$A$61,0)),"")</f>
        <v>CUR-001</v>
      </c>
      <c r="J2" t="str">
        <f t="shared" ref="J2:J33" si="0">IF(B2="","",B2)</f>
        <v>Currículo Administração</v>
      </c>
      <c r="K2" t="str">
        <f t="shared" ref="K2:K33" si="1">IF(C2="","",C2)</f>
        <v>CR-001</v>
      </c>
      <c r="L2" s="13">
        <f t="shared" ref="L2:L33" si="2">IF(D2="","",D2)</f>
        <v>3000</v>
      </c>
      <c r="M2" t="str">
        <f t="shared" ref="M2:M33" si="3">IF(E2="","",TEXT(E2,"yyyy-mm-dd"))</f>
        <v>yyyy-01-01</v>
      </c>
      <c r="N2" t="str">
        <f t="shared" ref="N2:N33" si="4">IF(F2="","",TEXT(F2,"yyyy-mm-dd"))</f>
        <v/>
      </c>
      <c r="O2" t="str">
        <f t="shared" ref="O2:O33" si="5">IF(G2="Sim","true",IF(G2="Não","false",""))</f>
        <v>true</v>
      </c>
    </row>
    <row r="3" spans="1:15" x14ac:dyDescent="0.35">
      <c r="E3" s="15"/>
      <c r="F3" s="15"/>
      <c r="I3" t="str">
        <f>IFERROR(INDEX('2.1 Cursos'!$B$2:$B$61,MATCH(A3,'2.1 Cursos'!$A$2:$A$61,0)),"")</f>
        <v/>
      </c>
      <c r="J3" t="str">
        <f t="shared" si="0"/>
        <v/>
      </c>
      <c r="K3" t="str">
        <f t="shared" si="1"/>
        <v/>
      </c>
      <c r="L3" t="str">
        <f t="shared" si="2"/>
        <v/>
      </c>
      <c r="M3" t="str">
        <f t="shared" si="3"/>
        <v/>
      </c>
      <c r="N3" t="str">
        <f t="shared" si="4"/>
        <v/>
      </c>
      <c r="O3" t="str">
        <f t="shared" si="5"/>
        <v/>
      </c>
    </row>
    <row r="4" spans="1:15" x14ac:dyDescent="0.35">
      <c r="E4" s="15"/>
      <c r="F4" s="15"/>
      <c r="I4" t="str">
        <f>IFERROR(INDEX('2.1 Cursos'!$B$2:$B$61,MATCH(A4,'2.1 Cursos'!$A$2:$A$61,0)),"")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</row>
    <row r="5" spans="1:15" x14ac:dyDescent="0.35">
      <c r="E5" s="15"/>
      <c r="F5" s="15"/>
      <c r="I5" t="str">
        <f>IFERROR(INDEX('2.1 Cursos'!$B$2:$B$61,MATCH(A5,'2.1 Cursos'!$A$2:$A$61,0)),"")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</row>
    <row r="6" spans="1:15" x14ac:dyDescent="0.35">
      <c r="E6" s="15"/>
      <c r="F6" s="15"/>
      <c r="I6" t="str">
        <f>IFERROR(INDEX('2.1 Cursos'!$B$2:$B$61,MATCH(A6,'2.1 Cursos'!$A$2:$A$61,0)),"")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</row>
    <row r="7" spans="1:15" x14ac:dyDescent="0.35">
      <c r="E7" s="15"/>
      <c r="F7" s="15"/>
      <c r="I7" t="str">
        <f>IFERROR(INDEX('2.1 Cursos'!$B$2:$B$61,MATCH(A7,'2.1 Cursos'!$A$2:$A$61,0)),"")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</row>
    <row r="8" spans="1:15" x14ac:dyDescent="0.35">
      <c r="E8" s="15"/>
      <c r="F8" s="15"/>
      <c r="I8" t="str">
        <f>IFERROR(INDEX('2.1 Cursos'!$B$2:$B$61,MATCH(A8,'2.1 Cursos'!$A$2:$A$61,0)),"")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</row>
    <row r="9" spans="1:15" x14ac:dyDescent="0.35">
      <c r="E9" s="15"/>
      <c r="F9" s="15"/>
      <c r="I9" t="str">
        <f>IFERROR(INDEX('2.1 Cursos'!$B$2:$B$61,MATCH(A9,'2.1 Cursos'!$A$2:$A$61,0)),"")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</row>
    <row r="10" spans="1:15" x14ac:dyDescent="0.35">
      <c r="E10" s="15"/>
      <c r="F10" s="15"/>
      <c r="I10" t="str">
        <f>IFERROR(INDEX('2.1 Cursos'!$B$2:$B$61,MATCH(A10,'2.1 Cursos'!$A$2:$A$61,0)),"")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</row>
    <row r="11" spans="1:15" x14ac:dyDescent="0.35">
      <c r="E11" s="15"/>
      <c r="F11" s="15"/>
      <c r="I11" t="str">
        <f>IFERROR(INDEX('2.1 Cursos'!$B$2:$B$61,MATCH(A11,'2.1 Cursos'!$A$2:$A$61,0)),"")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</row>
    <row r="12" spans="1:15" x14ac:dyDescent="0.35">
      <c r="E12" s="15"/>
      <c r="F12" s="15"/>
      <c r="I12" t="str">
        <f>IFERROR(INDEX('2.1 Cursos'!$B$2:$B$61,MATCH(A12,'2.1 Cursos'!$A$2:$A$61,0)),"")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</row>
    <row r="13" spans="1:15" x14ac:dyDescent="0.35">
      <c r="E13" s="15"/>
      <c r="F13" s="15"/>
      <c r="I13" t="str">
        <f>IFERROR(INDEX('2.1 Cursos'!$B$2:$B$61,MATCH(A13,'2.1 Cursos'!$A$2:$A$61,0)),"")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</row>
    <row r="14" spans="1:15" x14ac:dyDescent="0.35">
      <c r="E14" s="15"/>
      <c r="F14" s="15"/>
      <c r="I14" t="str">
        <f>IFERROR(INDEX('2.1 Cursos'!$B$2:$B$61,MATCH(A14,'2.1 Cursos'!$A$2:$A$61,0)),"")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</row>
    <row r="15" spans="1:15" x14ac:dyDescent="0.35">
      <c r="E15" s="15"/>
      <c r="F15" s="15"/>
      <c r="I15" t="str">
        <f>IFERROR(INDEX('2.1 Cursos'!$B$2:$B$61,MATCH(A15,'2.1 Cursos'!$A$2:$A$61,0)),"")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</row>
    <row r="16" spans="1:15" x14ac:dyDescent="0.35">
      <c r="E16" s="15"/>
      <c r="F16" s="15"/>
      <c r="I16" t="str">
        <f>IFERROR(INDEX('2.1 Cursos'!$B$2:$B$61,MATCH(A16,'2.1 Cursos'!$A$2:$A$61,0)),"")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</row>
    <row r="17" spans="5:15" x14ac:dyDescent="0.35">
      <c r="E17" s="15"/>
      <c r="F17" s="15"/>
      <c r="I17" t="str">
        <f>IFERROR(INDEX('2.1 Cursos'!$B$2:$B$61,MATCH(A17,'2.1 Cursos'!$A$2:$A$61,0)),"")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</row>
    <row r="18" spans="5:15" x14ac:dyDescent="0.35">
      <c r="E18" s="15"/>
      <c r="F18" s="15"/>
      <c r="I18" t="str">
        <f>IFERROR(INDEX('2.1 Cursos'!$B$2:$B$61,MATCH(A18,'2.1 Cursos'!$A$2:$A$61,0)),"")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</row>
    <row r="19" spans="5:15" x14ac:dyDescent="0.35">
      <c r="E19" s="15"/>
      <c r="F19" s="15"/>
      <c r="I19" t="str">
        <f>IFERROR(INDEX('2.1 Cursos'!$B$2:$B$61,MATCH(A19,'2.1 Cursos'!$A$2:$A$61,0)),"")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</row>
    <row r="20" spans="5:15" x14ac:dyDescent="0.35">
      <c r="E20" s="15"/>
      <c r="F20" s="15"/>
      <c r="I20" t="str">
        <f>IFERROR(INDEX('2.1 Cursos'!$B$2:$B$61,MATCH(A20,'2.1 Cursos'!$A$2:$A$61,0)),"")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</row>
    <row r="21" spans="5:15" x14ac:dyDescent="0.35">
      <c r="E21" s="15"/>
      <c r="F21" s="15"/>
      <c r="I21" t="str">
        <f>IFERROR(INDEX('2.1 Cursos'!$B$2:$B$61,MATCH(A21,'2.1 Cursos'!$A$2:$A$61,0)),"")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</row>
    <row r="22" spans="5:15" x14ac:dyDescent="0.35">
      <c r="E22" s="15"/>
      <c r="F22" s="15"/>
      <c r="I22" t="str">
        <f>IFERROR(INDEX('2.1 Cursos'!$B$2:$B$61,MATCH(A22,'2.1 Cursos'!$A$2:$A$61,0)),"")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</row>
    <row r="23" spans="5:15" x14ac:dyDescent="0.35">
      <c r="E23" s="15"/>
      <c r="F23" s="15"/>
      <c r="I23" t="str">
        <f>IFERROR(INDEX('2.1 Cursos'!$B$2:$B$61,MATCH(A23,'2.1 Cursos'!$A$2:$A$61,0)),"")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</row>
    <row r="24" spans="5:15" x14ac:dyDescent="0.35">
      <c r="E24" s="15"/>
      <c r="F24" s="15"/>
      <c r="I24" t="str">
        <f>IFERROR(INDEX('2.1 Cursos'!$B$2:$B$61,MATCH(A24,'2.1 Cursos'!$A$2:$A$61,0)),"")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</row>
    <row r="25" spans="5:15" x14ac:dyDescent="0.35">
      <c r="E25" s="15"/>
      <c r="F25" s="15"/>
      <c r="I25" t="str">
        <f>IFERROR(INDEX('2.1 Cursos'!$B$2:$B$61,MATCH(A25,'2.1 Cursos'!$A$2:$A$61,0)),"")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</row>
    <row r="26" spans="5:15" x14ac:dyDescent="0.35">
      <c r="E26" s="15"/>
      <c r="F26" s="15"/>
      <c r="I26" t="str">
        <f>IFERROR(INDEX('2.1 Cursos'!$B$2:$B$61,MATCH(A26,'2.1 Cursos'!$A$2:$A$61,0)),"")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</row>
    <row r="27" spans="5:15" x14ac:dyDescent="0.35">
      <c r="E27" s="15"/>
      <c r="F27" s="15"/>
      <c r="I27" t="str">
        <f>IFERROR(INDEX('2.1 Cursos'!$B$2:$B$61,MATCH(A27,'2.1 Cursos'!$A$2:$A$61,0)),"")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</row>
    <row r="28" spans="5:15" x14ac:dyDescent="0.35">
      <c r="E28" s="15"/>
      <c r="F28" s="15"/>
      <c r="I28" t="str">
        <f>IFERROR(INDEX('2.1 Cursos'!$B$2:$B$61,MATCH(A28,'2.1 Cursos'!$A$2:$A$61,0)),"")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</row>
    <row r="29" spans="5:15" x14ac:dyDescent="0.35">
      <c r="E29" s="15"/>
      <c r="F29" s="15"/>
      <c r="I29" t="str">
        <f>IFERROR(INDEX('2.1 Cursos'!$B$2:$B$61,MATCH(A29,'2.1 Cursos'!$A$2:$A$61,0)),"")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</row>
    <row r="30" spans="5:15" x14ac:dyDescent="0.35">
      <c r="E30" s="15"/>
      <c r="F30" s="15"/>
      <c r="I30" t="str">
        <f>IFERROR(INDEX('2.1 Cursos'!$B$2:$B$61,MATCH(A30,'2.1 Cursos'!$A$2:$A$61,0)),"")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</row>
    <row r="31" spans="5:15" x14ac:dyDescent="0.35">
      <c r="E31" s="15"/>
      <c r="F31" s="15"/>
      <c r="I31" t="str">
        <f>IFERROR(INDEX('2.1 Cursos'!$B$2:$B$61,MATCH(A31,'2.1 Cursos'!$A$2:$A$61,0)),"")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</row>
    <row r="32" spans="5:15" x14ac:dyDescent="0.35">
      <c r="E32" s="15"/>
      <c r="F32" s="15"/>
      <c r="I32" t="str">
        <f>IFERROR(INDEX('2.1 Cursos'!$B$2:$B$61,MATCH(A32,'2.1 Cursos'!$A$2:$A$61,0)),"")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</row>
    <row r="33" spans="5:15" x14ac:dyDescent="0.35">
      <c r="E33" s="15"/>
      <c r="F33" s="15"/>
      <c r="I33" t="str">
        <f>IFERROR(INDEX('2.1 Cursos'!$B$2:$B$61,MATCH(A33,'2.1 Cursos'!$A$2:$A$61,0)),"")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</row>
    <row r="34" spans="5:15" x14ac:dyDescent="0.35">
      <c r="E34" s="15"/>
      <c r="F34" s="15"/>
      <c r="I34" t="str">
        <f>IFERROR(INDEX('2.1 Cursos'!$B$2:$B$61,MATCH(A34,'2.1 Cursos'!$A$2:$A$61,0)),"")</f>
        <v/>
      </c>
      <c r="J34" t="str">
        <f t="shared" ref="J34:J61" si="6">IF(B34="","",B34)</f>
        <v/>
      </c>
      <c r="K34" t="str">
        <f t="shared" ref="K34:K61" si="7">IF(C34="","",C34)</f>
        <v/>
      </c>
      <c r="L34" t="str">
        <f t="shared" ref="L34:L61" si="8">IF(D34="","",D34)</f>
        <v/>
      </c>
      <c r="M34" t="str">
        <f t="shared" ref="M34:M61" si="9">IF(E34="","",TEXT(E34,"yyyy-mm-dd"))</f>
        <v/>
      </c>
      <c r="N34" t="str">
        <f t="shared" ref="N34:N61" si="10">IF(F34="","",TEXT(F34,"yyyy-mm-dd"))</f>
        <v/>
      </c>
      <c r="O34" t="str">
        <f t="shared" ref="O34:O61" si="11">IF(G34="Sim","true",IF(G34="Não","false",""))</f>
        <v/>
      </c>
    </row>
    <row r="35" spans="5:15" x14ac:dyDescent="0.35">
      <c r="E35" s="15"/>
      <c r="F35" s="15"/>
      <c r="I35" t="str">
        <f>IFERROR(INDEX('2.1 Cursos'!$B$2:$B$61,MATCH(A35,'2.1 Cursos'!$A$2:$A$61,0)),"")</f>
        <v/>
      </c>
      <c r="J35" t="str">
        <f t="shared" si="6"/>
        <v/>
      </c>
      <c r="K35" t="str">
        <f t="shared" si="7"/>
        <v/>
      </c>
      <c r="L35" t="str">
        <f t="shared" si="8"/>
        <v/>
      </c>
      <c r="M35" t="str">
        <f t="shared" si="9"/>
        <v/>
      </c>
      <c r="N35" t="str">
        <f t="shared" si="10"/>
        <v/>
      </c>
      <c r="O35" t="str">
        <f t="shared" si="11"/>
        <v/>
      </c>
    </row>
    <row r="36" spans="5:15" x14ac:dyDescent="0.35">
      <c r="E36" s="15"/>
      <c r="F36" s="15"/>
      <c r="I36" t="str">
        <f>IFERROR(INDEX('2.1 Cursos'!$B$2:$B$61,MATCH(A36,'2.1 Cursos'!$A$2:$A$61,0)),"")</f>
        <v/>
      </c>
      <c r="J36" t="str">
        <f t="shared" si="6"/>
        <v/>
      </c>
      <c r="K36" t="str">
        <f t="shared" si="7"/>
        <v/>
      </c>
      <c r="L36" t="str">
        <f t="shared" si="8"/>
        <v/>
      </c>
      <c r="M36" t="str">
        <f t="shared" si="9"/>
        <v/>
      </c>
      <c r="N36" t="str">
        <f t="shared" si="10"/>
        <v/>
      </c>
      <c r="O36" t="str">
        <f t="shared" si="11"/>
        <v/>
      </c>
    </row>
    <row r="37" spans="5:15" x14ac:dyDescent="0.35">
      <c r="E37" s="15"/>
      <c r="F37" s="15"/>
      <c r="I37" t="str">
        <f>IFERROR(INDEX('2.1 Cursos'!$B$2:$B$61,MATCH(A37,'2.1 Cursos'!$A$2:$A$61,0)),"")</f>
        <v/>
      </c>
      <c r="J37" t="str">
        <f t="shared" si="6"/>
        <v/>
      </c>
      <c r="K37" t="str">
        <f t="shared" si="7"/>
        <v/>
      </c>
      <c r="L37" t="str">
        <f t="shared" si="8"/>
        <v/>
      </c>
      <c r="M37" t="str">
        <f t="shared" si="9"/>
        <v/>
      </c>
      <c r="N37" t="str">
        <f t="shared" si="10"/>
        <v/>
      </c>
      <c r="O37" t="str">
        <f t="shared" si="11"/>
        <v/>
      </c>
    </row>
    <row r="38" spans="5:15" x14ac:dyDescent="0.35">
      <c r="E38" s="15"/>
      <c r="F38" s="15"/>
      <c r="I38" t="str">
        <f>IFERROR(INDEX('2.1 Cursos'!$B$2:$B$61,MATCH(A38,'2.1 Cursos'!$A$2:$A$61,0)),"")</f>
        <v/>
      </c>
      <c r="J38" t="str">
        <f t="shared" si="6"/>
        <v/>
      </c>
      <c r="K38" t="str">
        <f t="shared" si="7"/>
        <v/>
      </c>
      <c r="L38" t="str">
        <f t="shared" si="8"/>
        <v/>
      </c>
      <c r="M38" t="str">
        <f t="shared" si="9"/>
        <v/>
      </c>
      <c r="N38" t="str">
        <f t="shared" si="10"/>
        <v/>
      </c>
      <c r="O38" t="str">
        <f t="shared" si="11"/>
        <v/>
      </c>
    </row>
    <row r="39" spans="5:15" x14ac:dyDescent="0.35">
      <c r="E39" s="15"/>
      <c r="F39" s="15"/>
      <c r="I39" t="str">
        <f>IFERROR(INDEX('2.1 Cursos'!$B$2:$B$61,MATCH(A39,'2.1 Cursos'!$A$2:$A$61,0)),"")</f>
        <v/>
      </c>
      <c r="J39" t="str">
        <f t="shared" si="6"/>
        <v/>
      </c>
      <c r="K39" t="str">
        <f t="shared" si="7"/>
        <v/>
      </c>
      <c r="L39" t="str">
        <f t="shared" si="8"/>
        <v/>
      </c>
      <c r="M39" t="str">
        <f t="shared" si="9"/>
        <v/>
      </c>
      <c r="N39" t="str">
        <f t="shared" si="10"/>
        <v/>
      </c>
      <c r="O39" t="str">
        <f t="shared" si="11"/>
        <v/>
      </c>
    </row>
    <row r="40" spans="5:15" x14ac:dyDescent="0.35">
      <c r="E40" s="15"/>
      <c r="F40" s="15"/>
      <c r="I40" t="str">
        <f>IFERROR(INDEX('2.1 Cursos'!$B$2:$B$61,MATCH(A40,'2.1 Cursos'!$A$2:$A$61,0)),"")</f>
        <v/>
      </c>
      <c r="J40" t="str">
        <f t="shared" si="6"/>
        <v/>
      </c>
      <c r="K40" t="str">
        <f t="shared" si="7"/>
        <v/>
      </c>
      <c r="L40" t="str">
        <f t="shared" si="8"/>
        <v/>
      </c>
      <c r="M40" t="str">
        <f t="shared" si="9"/>
        <v/>
      </c>
      <c r="N40" t="str">
        <f t="shared" si="10"/>
        <v/>
      </c>
      <c r="O40" t="str">
        <f t="shared" si="11"/>
        <v/>
      </c>
    </row>
    <row r="41" spans="5:15" x14ac:dyDescent="0.35">
      <c r="E41" s="15"/>
      <c r="F41" s="15"/>
      <c r="I41" t="str">
        <f>IFERROR(INDEX('2.1 Cursos'!$B$2:$B$61,MATCH(A41,'2.1 Cursos'!$A$2:$A$61,0)),"")</f>
        <v/>
      </c>
      <c r="J41" t="str">
        <f t="shared" si="6"/>
        <v/>
      </c>
      <c r="K41" t="str">
        <f t="shared" si="7"/>
        <v/>
      </c>
      <c r="L41" t="str">
        <f t="shared" si="8"/>
        <v/>
      </c>
      <c r="M41" t="str">
        <f t="shared" si="9"/>
        <v/>
      </c>
      <c r="N41" t="str">
        <f t="shared" si="10"/>
        <v/>
      </c>
      <c r="O41" t="str">
        <f t="shared" si="11"/>
        <v/>
      </c>
    </row>
    <row r="42" spans="5:15" x14ac:dyDescent="0.35">
      <c r="E42" s="15"/>
      <c r="F42" s="15"/>
      <c r="I42" t="str">
        <f>IFERROR(INDEX('2.1 Cursos'!$B$2:$B$61,MATCH(A42,'2.1 Cursos'!$A$2:$A$61,0)),"")</f>
        <v/>
      </c>
      <c r="J42" t="str">
        <f t="shared" si="6"/>
        <v/>
      </c>
      <c r="K42" t="str">
        <f t="shared" si="7"/>
        <v/>
      </c>
      <c r="L42" t="str">
        <f t="shared" si="8"/>
        <v/>
      </c>
      <c r="M42" t="str">
        <f t="shared" si="9"/>
        <v/>
      </c>
      <c r="N42" t="str">
        <f t="shared" si="10"/>
        <v/>
      </c>
      <c r="O42" t="str">
        <f t="shared" si="11"/>
        <v/>
      </c>
    </row>
    <row r="43" spans="5:15" x14ac:dyDescent="0.35">
      <c r="E43" s="15"/>
      <c r="F43" s="15"/>
      <c r="I43" t="str">
        <f>IFERROR(INDEX('2.1 Cursos'!$B$2:$B$61,MATCH(A43,'2.1 Cursos'!$A$2:$A$61,0)),"")</f>
        <v/>
      </c>
      <c r="J43" t="str">
        <f t="shared" si="6"/>
        <v/>
      </c>
      <c r="K43" t="str">
        <f t="shared" si="7"/>
        <v/>
      </c>
      <c r="L43" t="str">
        <f t="shared" si="8"/>
        <v/>
      </c>
      <c r="M43" t="str">
        <f t="shared" si="9"/>
        <v/>
      </c>
      <c r="N43" t="str">
        <f t="shared" si="10"/>
        <v/>
      </c>
      <c r="O43" t="str">
        <f t="shared" si="11"/>
        <v/>
      </c>
    </row>
    <row r="44" spans="5:15" x14ac:dyDescent="0.35">
      <c r="E44" s="15"/>
      <c r="F44" s="15"/>
      <c r="I44" t="str">
        <f>IFERROR(INDEX('2.1 Cursos'!$B$2:$B$61,MATCH(A44,'2.1 Cursos'!$A$2:$A$61,0)),"")</f>
        <v/>
      </c>
      <c r="J44" t="str">
        <f t="shared" si="6"/>
        <v/>
      </c>
      <c r="K44" t="str">
        <f t="shared" si="7"/>
        <v/>
      </c>
      <c r="L44" t="str">
        <f t="shared" si="8"/>
        <v/>
      </c>
      <c r="M44" t="str">
        <f t="shared" si="9"/>
        <v/>
      </c>
      <c r="N44" t="str">
        <f t="shared" si="10"/>
        <v/>
      </c>
      <c r="O44" t="str">
        <f t="shared" si="11"/>
        <v/>
      </c>
    </row>
    <row r="45" spans="5:15" x14ac:dyDescent="0.35">
      <c r="E45" s="15"/>
      <c r="F45" s="15"/>
      <c r="I45" t="str">
        <f>IFERROR(INDEX('2.1 Cursos'!$B$2:$B$61,MATCH(A45,'2.1 Cursos'!$A$2:$A$61,0)),"")</f>
        <v/>
      </c>
      <c r="J45" t="str">
        <f t="shared" si="6"/>
        <v/>
      </c>
      <c r="K45" t="str">
        <f t="shared" si="7"/>
        <v/>
      </c>
      <c r="L45" t="str">
        <f t="shared" si="8"/>
        <v/>
      </c>
      <c r="M45" t="str">
        <f t="shared" si="9"/>
        <v/>
      </c>
      <c r="N45" t="str">
        <f t="shared" si="10"/>
        <v/>
      </c>
      <c r="O45" t="str">
        <f t="shared" si="11"/>
        <v/>
      </c>
    </row>
    <row r="46" spans="5:15" x14ac:dyDescent="0.35">
      <c r="E46" s="15"/>
      <c r="F46" s="15"/>
      <c r="I46" t="str">
        <f>IFERROR(INDEX('2.1 Cursos'!$B$2:$B$61,MATCH(A46,'2.1 Cursos'!$A$2:$A$61,0)),"")</f>
        <v/>
      </c>
      <c r="J46" t="str">
        <f t="shared" si="6"/>
        <v/>
      </c>
      <c r="K46" t="str">
        <f t="shared" si="7"/>
        <v/>
      </c>
      <c r="L46" t="str">
        <f t="shared" si="8"/>
        <v/>
      </c>
      <c r="M46" t="str">
        <f t="shared" si="9"/>
        <v/>
      </c>
      <c r="N46" t="str">
        <f t="shared" si="10"/>
        <v/>
      </c>
      <c r="O46" t="str">
        <f t="shared" si="11"/>
        <v/>
      </c>
    </row>
    <row r="47" spans="5:15" x14ac:dyDescent="0.35">
      <c r="E47" s="15"/>
      <c r="F47" s="15"/>
      <c r="I47" t="str">
        <f>IFERROR(INDEX('2.1 Cursos'!$B$2:$B$61,MATCH(A47,'2.1 Cursos'!$A$2:$A$61,0)),"")</f>
        <v/>
      </c>
      <c r="J47" t="str">
        <f t="shared" si="6"/>
        <v/>
      </c>
      <c r="K47" t="str">
        <f t="shared" si="7"/>
        <v/>
      </c>
      <c r="L47" t="str">
        <f t="shared" si="8"/>
        <v/>
      </c>
      <c r="M47" t="str">
        <f t="shared" si="9"/>
        <v/>
      </c>
      <c r="N47" t="str">
        <f t="shared" si="10"/>
        <v/>
      </c>
      <c r="O47" t="str">
        <f t="shared" si="11"/>
        <v/>
      </c>
    </row>
    <row r="48" spans="5:15" x14ac:dyDescent="0.35">
      <c r="E48" s="15"/>
      <c r="F48" s="15"/>
      <c r="I48" t="str">
        <f>IFERROR(INDEX('2.1 Cursos'!$B$2:$B$61,MATCH(A48,'2.1 Cursos'!$A$2:$A$61,0)),"")</f>
        <v/>
      </c>
      <c r="J48" t="str">
        <f t="shared" si="6"/>
        <v/>
      </c>
      <c r="K48" t="str">
        <f t="shared" si="7"/>
        <v/>
      </c>
      <c r="L48" t="str">
        <f t="shared" si="8"/>
        <v/>
      </c>
      <c r="M48" t="str">
        <f t="shared" si="9"/>
        <v/>
      </c>
      <c r="N48" t="str">
        <f t="shared" si="10"/>
        <v/>
      </c>
      <c r="O48" t="str">
        <f t="shared" si="11"/>
        <v/>
      </c>
    </row>
    <row r="49" spans="5:15" x14ac:dyDescent="0.35">
      <c r="E49" s="15"/>
      <c r="F49" s="15"/>
      <c r="I49" t="str">
        <f>IFERROR(INDEX('2.1 Cursos'!$B$2:$B$61,MATCH(A49,'2.1 Cursos'!$A$2:$A$61,0)),"")</f>
        <v/>
      </c>
      <c r="J49" t="str">
        <f t="shared" si="6"/>
        <v/>
      </c>
      <c r="K49" t="str">
        <f t="shared" si="7"/>
        <v/>
      </c>
      <c r="L49" t="str">
        <f t="shared" si="8"/>
        <v/>
      </c>
      <c r="M49" t="str">
        <f t="shared" si="9"/>
        <v/>
      </c>
      <c r="N49" t="str">
        <f t="shared" si="10"/>
        <v/>
      </c>
      <c r="O49" t="str">
        <f t="shared" si="11"/>
        <v/>
      </c>
    </row>
    <row r="50" spans="5:15" x14ac:dyDescent="0.35">
      <c r="E50" s="15"/>
      <c r="F50" s="15"/>
      <c r="I50" t="str">
        <f>IFERROR(INDEX('2.1 Cursos'!$B$2:$B$61,MATCH(A50,'2.1 Cursos'!$A$2:$A$61,0)),"")</f>
        <v/>
      </c>
      <c r="J50" t="str">
        <f t="shared" si="6"/>
        <v/>
      </c>
      <c r="K50" t="str">
        <f t="shared" si="7"/>
        <v/>
      </c>
      <c r="L50" t="str">
        <f t="shared" si="8"/>
        <v/>
      </c>
      <c r="M50" t="str">
        <f t="shared" si="9"/>
        <v/>
      </c>
      <c r="N50" t="str">
        <f t="shared" si="10"/>
        <v/>
      </c>
      <c r="O50" t="str">
        <f t="shared" si="11"/>
        <v/>
      </c>
    </row>
    <row r="51" spans="5:15" x14ac:dyDescent="0.35">
      <c r="E51" s="15"/>
      <c r="F51" s="15"/>
      <c r="I51" t="str">
        <f>IFERROR(INDEX('2.1 Cursos'!$B$2:$B$61,MATCH(A51,'2.1 Cursos'!$A$2:$A$61,0)),"")</f>
        <v/>
      </c>
      <c r="J51" t="str">
        <f t="shared" si="6"/>
        <v/>
      </c>
      <c r="K51" t="str">
        <f t="shared" si="7"/>
        <v/>
      </c>
      <c r="L51" t="str">
        <f t="shared" si="8"/>
        <v/>
      </c>
      <c r="M51" t="str">
        <f t="shared" si="9"/>
        <v/>
      </c>
      <c r="N51" t="str">
        <f t="shared" si="10"/>
        <v/>
      </c>
      <c r="O51" t="str">
        <f t="shared" si="11"/>
        <v/>
      </c>
    </row>
    <row r="52" spans="5:15" x14ac:dyDescent="0.35">
      <c r="E52" s="15"/>
      <c r="F52" s="15"/>
      <c r="I52" t="str">
        <f>IFERROR(INDEX('2.1 Cursos'!$B$2:$B$61,MATCH(A52,'2.1 Cursos'!$A$2:$A$61,0)),"")</f>
        <v/>
      </c>
      <c r="J52" t="str">
        <f t="shared" si="6"/>
        <v/>
      </c>
      <c r="K52" t="str">
        <f t="shared" si="7"/>
        <v/>
      </c>
      <c r="L52" t="str">
        <f t="shared" si="8"/>
        <v/>
      </c>
      <c r="M52" t="str">
        <f t="shared" si="9"/>
        <v/>
      </c>
      <c r="N52" t="str">
        <f t="shared" si="10"/>
        <v/>
      </c>
      <c r="O52" t="str">
        <f t="shared" si="11"/>
        <v/>
      </c>
    </row>
    <row r="53" spans="5:15" x14ac:dyDescent="0.35">
      <c r="E53" s="15"/>
      <c r="F53" s="15"/>
      <c r="I53" t="str">
        <f>IFERROR(INDEX('2.1 Cursos'!$B$2:$B$61,MATCH(A53,'2.1 Cursos'!$A$2:$A$61,0)),"")</f>
        <v/>
      </c>
      <c r="J53" t="str">
        <f t="shared" si="6"/>
        <v/>
      </c>
      <c r="K53" t="str">
        <f t="shared" si="7"/>
        <v/>
      </c>
      <c r="L53" t="str">
        <f t="shared" si="8"/>
        <v/>
      </c>
      <c r="M53" t="str">
        <f t="shared" si="9"/>
        <v/>
      </c>
      <c r="N53" t="str">
        <f t="shared" si="10"/>
        <v/>
      </c>
      <c r="O53" t="str">
        <f t="shared" si="11"/>
        <v/>
      </c>
    </row>
    <row r="54" spans="5:15" x14ac:dyDescent="0.35">
      <c r="E54" s="15"/>
      <c r="F54" s="15"/>
      <c r="I54" t="str">
        <f>IFERROR(INDEX('2.1 Cursos'!$B$2:$B$61,MATCH(A54,'2.1 Cursos'!$A$2:$A$61,0)),"")</f>
        <v/>
      </c>
      <c r="J54" t="str">
        <f t="shared" si="6"/>
        <v/>
      </c>
      <c r="K54" t="str">
        <f t="shared" si="7"/>
        <v/>
      </c>
      <c r="L54" t="str">
        <f t="shared" si="8"/>
        <v/>
      </c>
      <c r="M54" t="str">
        <f t="shared" si="9"/>
        <v/>
      </c>
      <c r="N54" t="str">
        <f t="shared" si="10"/>
        <v/>
      </c>
      <c r="O54" t="str">
        <f t="shared" si="11"/>
        <v/>
      </c>
    </row>
    <row r="55" spans="5:15" x14ac:dyDescent="0.35">
      <c r="E55" s="15"/>
      <c r="F55" s="15"/>
      <c r="I55" t="str">
        <f>IFERROR(INDEX('2.1 Cursos'!$B$2:$B$61,MATCH(A55,'2.1 Cursos'!$A$2:$A$61,0)),"")</f>
        <v/>
      </c>
      <c r="J55" t="str">
        <f t="shared" si="6"/>
        <v/>
      </c>
      <c r="K55" t="str">
        <f t="shared" si="7"/>
        <v/>
      </c>
      <c r="L55" t="str">
        <f t="shared" si="8"/>
        <v/>
      </c>
      <c r="M55" t="str">
        <f t="shared" si="9"/>
        <v/>
      </c>
      <c r="N55" t="str">
        <f t="shared" si="10"/>
        <v/>
      </c>
      <c r="O55" t="str">
        <f t="shared" si="11"/>
        <v/>
      </c>
    </row>
    <row r="56" spans="5:15" x14ac:dyDescent="0.35">
      <c r="E56" s="15"/>
      <c r="F56" s="15"/>
      <c r="I56" t="str">
        <f>IFERROR(INDEX('2.1 Cursos'!$B$2:$B$61,MATCH(A56,'2.1 Cursos'!$A$2:$A$61,0)),"")</f>
        <v/>
      </c>
      <c r="J56" t="str">
        <f t="shared" si="6"/>
        <v/>
      </c>
      <c r="K56" t="str">
        <f t="shared" si="7"/>
        <v/>
      </c>
      <c r="L56" t="str">
        <f t="shared" si="8"/>
        <v/>
      </c>
      <c r="M56" t="str">
        <f t="shared" si="9"/>
        <v/>
      </c>
      <c r="N56" t="str">
        <f t="shared" si="10"/>
        <v/>
      </c>
      <c r="O56" t="str">
        <f t="shared" si="11"/>
        <v/>
      </c>
    </row>
    <row r="57" spans="5:15" x14ac:dyDescent="0.35">
      <c r="E57" s="15"/>
      <c r="F57" s="15"/>
      <c r="I57" t="str">
        <f>IFERROR(INDEX('2.1 Cursos'!$B$2:$B$61,MATCH(A57,'2.1 Cursos'!$A$2:$A$61,0)),"")</f>
        <v/>
      </c>
      <c r="J57" t="str">
        <f t="shared" si="6"/>
        <v/>
      </c>
      <c r="K57" t="str">
        <f t="shared" si="7"/>
        <v/>
      </c>
      <c r="L57" t="str">
        <f t="shared" si="8"/>
        <v/>
      </c>
      <c r="M57" t="str">
        <f t="shared" si="9"/>
        <v/>
      </c>
      <c r="N57" t="str">
        <f t="shared" si="10"/>
        <v/>
      </c>
      <c r="O57" t="str">
        <f t="shared" si="11"/>
        <v/>
      </c>
    </row>
    <row r="58" spans="5:15" x14ac:dyDescent="0.35">
      <c r="E58" s="15"/>
      <c r="F58" s="15"/>
      <c r="I58" t="str">
        <f>IFERROR(INDEX('2.1 Cursos'!$B$2:$B$61,MATCH(A58,'2.1 Cursos'!$A$2:$A$61,0)),"")</f>
        <v/>
      </c>
      <c r="J58" t="str">
        <f t="shared" si="6"/>
        <v/>
      </c>
      <c r="K58" t="str">
        <f t="shared" si="7"/>
        <v/>
      </c>
      <c r="L58" t="str">
        <f t="shared" si="8"/>
        <v/>
      </c>
      <c r="M58" t="str">
        <f t="shared" si="9"/>
        <v/>
      </c>
      <c r="N58" t="str">
        <f t="shared" si="10"/>
        <v/>
      </c>
      <c r="O58" t="str">
        <f t="shared" si="11"/>
        <v/>
      </c>
    </row>
    <row r="59" spans="5:15" x14ac:dyDescent="0.35">
      <c r="E59" s="15"/>
      <c r="F59" s="15"/>
      <c r="I59" t="str">
        <f>IFERROR(INDEX('2.1 Cursos'!$B$2:$B$61,MATCH(A59,'2.1 Cursos'!$A$2:$A$61,0)),"")</f>
        <v/>
      </c>
      <c r="J59" t="str">
        <f t="shared" si="6"/>
        <v/>
      </c>
      <c r="K59" t="str">
        <f t="shared" si="7"/>
        <v/>
      </c>
      <c r="L59" t="str">
        <f t="shared" si="8"/>
        <v/>
      </c>
      <c r="M59" t="str">
        <f t="shared" si="9"/>
        <v/>
      </c>
      <c r="N59" t="str">
        <f t="shared" si="10"/>
        <v/>
      </c>
      <c r="O59" t="str">
        <f t="shared" si="11"/>
        <v/>
      </c>
    </row>
    <row r="60" spans="5:15" x14ac:dyDescent="0.35">
      <c r="E60" s="15"/>
      <c r="F60" s="15"/>
      <c r="I60" t="str">
        <f>IFERROR(INDEX('2.1 Cursos'!$B$2:$B$61,MATCH(A60,'2.1 Cursos'!$A$2:$A$61,0)),"")</f>
        <v/>
      </c>
      <c r="J60" t="str">
        <f t="shared" si="6"/>
        <v/>
      </c>
      <c r="K60" t="str">
        <f t="shared" si="7"/>
        <v/>
      </c>
      <c r="L60" t="str">
        <f t="shared" si="8"/>
        <v/>
      </c>
      <c r="M60" t="str">
        <f t="shared" si="9"/>
        <v/>
      </c>
      <c r="N60" t="str">
        <f t="shared" si="10"/>
        <v/>
      </c>
      <c r="O60" t="str">
        <f t="shared" si="11"/>
        <v/>
      </c>
    </row>
    <row r="61" spans="5:15" x14ac:dyDescent="0.35">
      <c r="E61" s="15"/>
      <c r="F61" s="15"/>
      <c r="I61" t="str">
        <f>IFERROR(INDEX('2.1 Cursos'!$B$2:$B$61,MATCH(A61,'2.1 Cursos'!$A$2:$A$61,0)),"")</f>
        <v/>
      </c>
      <c r="J61" t="str">
        <f t="shared" si="6"/>
        <v/>
      </c>
      <c r="K61" t="str">
        <f t="shared" si="7"/>
        <v/>
      </c>
      <c r="L61" t="str">
        <f t="shared" si="8"/>
        <v/>
      </c>
      <c r="M61" t="str">
        <f t="shared" si="9"/>
        <v/>
      </c>
      <c r="N61" t="str">
        <f t="shared" si="10"/>
        <v/>
      </c>
      <c r="O61" t="str">
        <f t="shared" si="11"/>
        <v/>
      </c>
    </row>
  </sheetData>
  <autoFilter ref="A1:G1"/>
  <conditionalFormatting sqref="A3:A61">
    <cfRule type="expression" dxfId="55" priority="2">
      <formula>AND($A3="",COUNTA($A3:$G3)&gt;0)</formula>
    </cfRule>
  </conditionalFormatting>
  <conditionalFormatting sqref="B3:B61">
    <cfRule type="expression" dxfId="54" priority="3">
      <formula>AND($B3="",COUNTA($A3:$G3)&gt;0)</formula>
    </cfRule>
  </conditionalFormatting>
  <conditionalFormatting sqref="C3:C61">
    <cfRule type="expression" dxfId="53" priority="4">
      <formula>AND($C3="",COUNTA($A3:$G3)&gt;0)</formula>
    </cfRule>
  </conditionalFormatting>
  <conditionalFormatting sqref="D3:D61">
    <cfRule type="expression" dxfId="52" priority="5">
      <formula>AND($D3="",COUNTA($A3:$G3)&gt;0)</formula>
    </cfRule>
  </conditionalFormatting>
  <dataValidations count="4">
    <dataValidation type="textLength" operator="lessThanOrEqual" allowBlank="1" errorTitle="Texto muito longo" error="Máximo de 50 caracteres" sqref="C2:C61">
      <formula1>50</formula1>
      <formula2>0</formula2>
    </dataValidation>
    <dataValidation type="textLength" operator="lessThanOrEqual" allowBlank="1" errorTitle="Texto muito longo" error="Máximo de 150 caracteres" sqref="B2:B61">
      <formula1>150</formula1>
      <formula2>0</formula2>
    </dataValidation>
    <dataValidation type="decimal" operator="greaterThanOrEqual" allowBlank="1" error="Informe um número" sqref="D2:D61">
      <formula1>0</formula1>
      <formula2>0</formula2>
    </dataValidation>
    <dataValidation type="list" allowBlank="1" sqref="G2:G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'2.1 Cursos'!$A$2:$A$61</xm:f>
          </x14:formula1>
          <x14:formula2>
            <xm:f>0</xm:f>
          </x14:formula2>
          <xm:sqref>A2:A61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5623"/>
  </sheetPr>
  <dimension ref="A1:M61"/>
  <sheetViews>
    <sheetView zoomScaleNormal="100" workbookViewId="0">
      <pane ySplit="1" topLeftCell="A2" activePane="bottomLeft" state="frozen"/>
      <selection pane="bottomLeft" activeCell="E3" sqref="E3"/>
    </sheetView>
  </sheetViews>
  <sheetFormatPr defaultColWidth="8.54296875" defaultRowHeight="14.5" x14ac:dyDescent="0.35"/>
  <cols>
    <col min="1" max="1" width="26" customWidth="1"/>
    <col min="2" max="2" width="28" customWidth="1"/>
    <col min="3" max="3" width="32" customWidth="1"/>
    <col min="4" max="4" width="18" customWidth="1"/>
    <col min="5" max="6" width="10" customWidth="1"/>
    <col min="8" max="13" width="16" hidden="1" customWidth="1"/>
  </cols>
  <sheetData>
    <row r="1" spans="1:13" ht="31.5" customHeight="1" x14ac:dyDescent="0.35">
      <c r="A1" s="12" t="s">
        <v>144</v>
      </c>
      <c r="B1" s="12" t="s">
        <v>151</v>
      </c>
      <c r="C1" s="12" t="s">
        <v>152</v>
      </c>
      <c r="D1" s="12" t="s">
        <v>153</v>
      </c>
      <c r="E1" s="12" t="s">
        <v>154</v>
      </c>
      <c r="F1" s="12" t="s">
        <v>155</v>
      </c>
      <c r="H1" s="10" t="s">
        <v>148</v>
      </c>
      <c r="I1" s="10" t="s">
        <v>156</v>
      </c>
      <c r="J1" s="10" t="s">
        <v>157</v>
      </c>
      <c r="K1" s="10" t="s">
        <v>158</v>
      </c>
      <c r="L1" s="10" t="s">
        <v>159</v>
      </c>
      <c r="M1" s="10" t="s">
        <v>160</v>
      </c>
    </row>
    <row r="2" spans="1:13" x14ac:dyDescent="0.35">
      <c r="A2" s="11" t="s">
        <v>124</v>
      </c>
      <c r="B2" s="11" t="s">
        <v>149</v>
      </c>
      <c r="C2" s="11" t="s">
        <v>131</v>
      </c>
      <c r="D2" s="11" t="s">
        <v>161</v>
      </c>
      <c r="E2" s="11">
        <v>1</v>
      </c>
      <c r="F2" s="11">
        <v>1</v>
      </c>
      <c r="H2" t="str">
        <f>IFERROR(INDEX('2.1 Cursos'!$B$2:$B$61,MATCH(A2,'2.1 Cursos'!$A$2:$A$61,0)),"")</f>
        <v>CUR-001</v>
      </c>
      <c r="I2" t="str">
        <f>IFERROR(INDEX('2.4 Curriculos'!$C$2:$C$61,MATCH(B2,'2.4 Curriculos'!$B$2:$B$61,0)),"")</f>
        <v>CR-001</v>
      </c>
      <c r="J2" t="str">
        <f>IFERROR(INDEX('2.2 Disciplinas'!$B$2:$B$61,MATCH(C2,'2.2 Disciplinas'!$A$2:$A$61,0)),"")</f>
        <v>DISC-001</v>
      </c>
      <c r="K2" t="str">
        <f>IFERROR(INDEX(Listas!$N$2:$N$4,MATCH(D2,Listas!$M$2:$M$4,0)),"")</f>
        <v>compulsory</v>
      </c>
      <c r="L2" s="13">
        <f t="shared" ref="L2:L33" si="0">IF(E2="","",E2)</f>
        <v>1</v>
      </c>
      <c r="M2" s="13">
        <f t="shared" ref="M2:M33" si="1">IF(F2="","",F2)</f>
        <v>1</v>
      </c>
    </row>
    <row r="3" spans="1:13" x14ac:dyDescent="0.35">
      <c r="H3" t="str">
        <f>IFERROR(INDEX('2.1 Cursos'!$B$2:$B$61,MATCH(A3,'2.1 Cursos'!$A$2:$A$61,0)),"")</f>
        <v/>
      </c>
      <c r="I3" t="str">
        <f>IFERROR(INDEX('2.4 Curriculos'!$C$2:$C$61,MATCH(B3,'2.4 Curriculos'!$B$2:$B$61,0)),"")</f>
        <v/>
      </c>
      <c r="J3" t="str">
        <f>IFERROR(INDEX('2.2 Disciplinas'!$B$2:$B$61,MATCH(C3,'2.2 Disciplinas'!$A$2:$A$61,0)),"")</f>
        <v/>
      </c>
      <c r="K3" t="str">
        <f>IFERROR(INDEX(Listas!$N$2:$N$4,MATCH(D3,Listas!$M$2:$M$4,0)),"")</f>
        <v/>
      </c>
      <c r="L3" t="str">
        <f t="shared" si="0"/>
        <v/>
      </c>
      <c r="M3" t="str">
        <f t="shared" si="1"/>
        <v/>
      </c>
    </row>
    <row r="4" spans="1:13" x14ac:dyDescent="0.35">
      <c r="H4" t="str">
        <f>IFERROR(INDEX('2.1 Cursos'!$B$2:$B$61,MATCH(A4,'2.1 Cursos'!$A$2:$A$61,0)),"")</f>
        <v/>
      </c>
      <c r="I4" t="str">
        <f>IFERROR(INDEX('2.4 Curriculos'!$C$2:$C$61,MATCH(B4,'2.4 Curriculos'!$B$2:$B$61,0)),"")</f>
        <v/>
      </c>
      <c r="J4" t="str">
        <f>IFERROR(INDEX('2.2 Disciplinas'!$B$2:$B$61,MATCH(C4,'2.2 Disciplinas'!$A$2:$A$61,0)),"")</f>
        <v/>
      </c>
      <c r="K4" t="str">
        <f>IFERROR(INDEX(Listas!$N$2:$N$4,MATCH(D4,Listas!$M$2:$M$4,0)),"")</f>
        <v/>
      </c>
      <c r="L4" t="str">
        <f t="shared" si="0"/>
        <v/>
      </c>
      <c r="M4" t="str">
        <f t="shared" si="1"/>
        <v/>
      </c>
    </row>
    <row r="5" spans="1:13" x14ac:dyDescent="0.35">
      <c r="H5" t="str">
        <f>IFERROR(INDEX('2.1 Cursos'!$B$2:$B$61,MATCH(A5,'2.1 Cursos'!$A$2:$A$61,0)),"")</f>
        <v/>
      </c>
      <c r="I5" t="str">
        <f>IFERROR(INDEX('2.4 Curriculos'!$C$2:$C$61,MATCH(B5,'2.4 Curriculos'!$B$2:$B$61,0)),"")</f>
        <v/>
      </c>
      <c r="J5" t="str">
        <f>IFERROR(INDEX('2.2 Disciplinas'!$B$2:$B$61,MATCH(C5,'2.2 Disciplinas'!$A$2:$A$61,0)),"")</f>
        <v/>
      </c>
      <c r="K5" t="str">
        <f>IFERROR(INDEX(Listas!$N$2:$N$4,MATCH(D5,Listas!$M$2:$M$4,0)),"")</f>
        <v/>
      </c>
      <c r="L5" t="str">
        <f t="shared" si="0"/>
        <v/>
      </c>
      <c r="M5" t="str">
        <f t="shared" si="1"/>
        <v/>
      </c>
    </row>
    <row r="6" spans="1:13" x14ac:dyDescent="0.35">
      <c r="H6" t="str">
        <f>IFERROR(INDEX('2.1 Cursos'!$B$2:$B$61,MATCH(A6,'2.1 Cursos'!$A$2:$A$61,0)),"")</f>
        <v/>
      </c>
      <c r="I6" t="str">
        <f>IFERROR(INDEX('2.4 Curriculos'!$C$2:$C$61,MATCH(B6,'2.4 Curriculos'!$B$2:$B$61,0)),"")</f>
        <v/>
      </c>
      <c r="J6" t="str">
        <f>IFERROR(INDEX('2.2 Disciplinas'!$B$2:$B$61,MATCH(C6,'2.2 Disciplinas'!$A$2:$A$61,0)),"")</f>
        <v/>
      </c>
      <c r="K6" t="str">
        <f>IFERROR(INDEX(Listas!$N$2:$N$4,MATCH(D6,Listas!$M$2:$M$4,0)),"")</f>
        <v/>
      </c>
      <c r="L6" t="str">
        <f t="shared" si="0"/>
        <v/>
      </c>
      <c r="M6" t="str">
        <f t="shared" si="1"/>
        <v/>
      </c>
    </row>
    <row r="7" spans="1:13" x14ac:dyDescent="0.35">
      <c r="H7" t="str">
        <f>IFERROR(INDEX('2.1 Cursos'!$B$2:$B$61,MATCH(A7,'2.1 Cursos'!$A$2:$A$61,0)),"")</f>
        <v/>
      </c>
      <c r="I7" t="str">
        <f>IFERROR(INDEX('2.4 Curriculos'!$C$2:$C$61,MATCH(B7,'2.4 Curriculos'!$B$2:$B$61,0)),"")</f>
        <v/>
      </c>
      <c r="J7" t="str">
        <f>IFERROR(INDEX('2.2 Disciplinas'!$B$2:$B$61,MATCH(C7,'2.2 Disciplinas'!$A$2:$A$61,0)),"")</f>
        <v/>
      </c>
      <c r="K7" t="str">
        <f>IFERROR(INDEX(Listas!$N$2:$N$4,MATCH(D7,Listas!$M$2:$M$4,0)),"")</f>
        <v/>
      </c>
      <c r="L7" t="str">
        <f t="shared" si="0"/>
        <v/>
      </c>
      <c r="M7" t="str">
        <f t="shared" si="1"/>
        <v/>
      </c>
    </row>
    <row r="8" spans="1:13" x14ac:dyDescent="0.35">
      <c r="H8" t="str">
        <f>IFERROR(INDEX('2.1 Cursos'!$B$2:$B$61,MATCH(A8,'2.1 Cursos'!$A$2:$A$61,0)),"")</f>
        <v/>
      </c>
      <c r="I8" t="str">
        <f>IFERROR(INDEX('2.4 Curriculos'!$C$2:$C$61,MATCH(B8,'2.4 Curriculos'!$B$2:$B$61,0)),"")</f>
        <v/>
      </c>
      <c r="J8" t="str">
        <f>IFERROR(INDEX('2.2 Disciplinas'!$B$2:$B$61,MATCH(C8,'2.2 Disciplinas'!$A$2:$A$61,0)),"")</f>
        <v/>
      </c>
      <c r="K8" t="str">
        <f>IFERROR(INDEX(Listas!$N$2:$N$4,MATCH(D8,Listas!$M$2:$M$4,0)),"")</f>
        <v/>
      </c>
      <c r="L8" t="str">
        <f t="shared" si="0"/>
        <v/>
      </c>
      <c r="M8" t="str">
        <f t="shared" si="1"/>
        <v/>
      </c>
    </row>
    <row r="9" spans="1:13" x14ac:dyDescent="0.35">
      <c r="H9" t="str">
        <f>IFERROR(INDEX('2.1 Cursos'!$B$2:$B$61,MATCH(A9,'2.1 Cursos'!$A$2:$A$61,0)),"")</f>
        <v/>
      </c>
      <c r="I9" t="str">
        <f>IFERROR(INDEX('2.4 Curriculos'!$C$2:$C$61,MATCH(B9,'2.4 Curriculos'!$B$2:$B$61,0)),"")</f>
        <v/>
      </c>
      <c r="J9" t="str">
        <f>IFERROR(INDEX('2.2 Disciplinas'!$B$2:$B$61,MATCH(C9,'2.2 Disciplinas'!$A$2:$A$61,0)),"")</f>
        <v/>
      </c>
      <c r="K9" t="str">
        <f>IFERROR(INDEX(Listas!$N$2:$N$4,MATCH(D9,Listas!$M$2:$M$4,0)),"")</f>
        <v/>
      </c>
      <c r="L9" t="str">
        <f t="shared" si="0"/>
        <v/>
      </c>
      <c r="M9" t="str">
        <f t="shared" si="1"/>
        <v/>
      </c>
    </row>
    <row r="10" spans="1:13" x14ac:dyDescent="0.35">
      <c r="H10" t="str">
        <f>IFERROR(INDEX('2.1 Cursos'!$B$2:$B$61,MATCH(A10,'2.1 Cursos'!$A$2:$A$61,0)),"")</f>
        <v/>
      </c>
      <c r="I10" t="str">
        <f>IFERROR(INDEX('2.4 Curriculos'!$C$2:$C$61,MATCH(B10,'2.4 Curriculos'!$B$2:$B$61,0)),"")</f>
        <v/>
      </c>
      <c r="J10" t="str">
        <f>IFERROR(INDEX('2.2 Disciplinas'!$B$2:$B$61,MATCH(C10,'2.2 Disciplinas'!$A$2:$A$61,0)),"")</f>
        <v/>
      </c>
      <c r="K10" t="str">
        <f>IFERROR(INDEX(Listas!$N$2:$N$4,MATCH(D10,Listas!$M$2:$M$4,0)),"")</f>
        <v/>
      </c>
      <c r="L10" t="str">
        <f t="shared" si="0"/>
        <v/>
      </c>
      <c r="M10" t="str">
        <f t="shared" si="1"/>
        <v/>
      </c>
    </row>
    <row r="11" spans="1:13" x14ac:dyDescent="0.35">
      <c r="H11" t="str">
        <f>IFERROR(INDEX('2.1 Cursos'!$B$2:$B$61,MATCH(A11,'2.1 Cursos'!$A$2:$A$61,0)),"")</f>
        <v/>
      </c>
      <c r="I11" t="str">
        <f>IFERROR(INDEX('2.4 Curriculos'!$C$2:$C$61,MATCH(B11,'2.4 Curriculos'!$B$2:$B$61,0)),"")</f>
        <v/>
      </c>
      <c r="J11" t="str">
        <f>IFERROR(INDEX('2.2 Disciplinas'!$B$2:$B$61,MATCH(C11,'2.2 Disciplinas'!$A$2:$A$61,0)),"")</f>
        <v/>
      </c>
      <c r="K11" t="str">
        <f>IFERROR(INDEX(Listas!$N$2:$N$4,MATCH(D11,Listas!$M$2:$M$4,0)),"")</f>
        <v/>
      </c>
      <c r="L11" t="str">
        <f t="shared" si="0"/>
        <v/>
      </c>
      <c r="M11" t="str">
        <f t="shared" si="1"/>
        <v/>
      </c>
    </row>
    <row r="12" spans="1:13" x14ac:dyDescent="0.35">
      <c r="H12" t="str">
        <f>IFERROR(INDEX('2.1 Cursos'!$B$2:$B$61,MATCH(A12,'2.1 Cursos'!$A$2:$A$61,0)),"")</f>
        <v/>
      </c>
      <c r="I12" t="str">
        <f>IFERROR(INDEX('2.4 Curriculos'!$C$2:$C$61,MATCH(B12,'2.4 Curriculos'!$B$2:$B$61,0)),"")</f>
        <v/>
      </c>
      <c r="J12" t="str">
        <f>IFERROR(INDEX('2.2 Disciplinas'!$B$2:$B$61,MATCH(C12,'2.2 Disciplinas'!$A$2:$A$61,0)),"")</f>
        <v/>
      </c>
      <c r="K12" t="str">
        <f>IFERROR(INDEX(Listas!$N$2:$N$4,MATCH(D12,Listas!$M$2:$M$4,0)),"")</f>
        <v/>
      </c>
      <c r="L12" t="str">
        <f t="shared" si="0"/>
        <v/>
      </c>
      <c r="M12" t="str">
        <f t="shared" si="1"/>
        <v/>
      </c>
    </row>
    <row r="13" spans="1:13" x14ac:dyDescent="0.35">
      <c r="H13" t="str">
        <f>IFERROR(INDEX('2.1 Cursos'!$B$2:$B$61,MATCH(A13,'2.1 Cursos'!$A$2:$A$61,0)),"")</f>
        <v/>
      </c>
      <c r="I13" t="str">
        <f>IFERROR(INDEX('2.4 Curriculos'!$C$2:$C$61,MATCH(B13,'2.4 Curriculos'!$B$2:$B$61,0)),"")</f>
        <v/>
      </c>
      <c r="J13" t="str">
        <f>IFERROR(INDEX('2.2 Disciplinas'!$B$2:$B$61,MATCH(C13,'2.2 Disciplinas'!$A$2:$A$61,0)),"")</f>
        <v/>
      </c>
      <c r="K13" t="str">
        <f>IFERROR(INDEX(Listas!$N$2:$N$4,MATCH(D13,Listas!$M$2:$M$4,0)),"")</f>
        <v/>
      </c>
      <c r="L13" t="str">
        <f t="shared" si="0"/>
        <v/>
      </c>
      <c r="M13" t="str">
        <f t="shared" si="1"/>
        <v/>
      </c>
    </row>
    <row r="14" spans="1:13" x14ac:dyDescent="0.35">
      <c r="H14" t="str">
        <f>IFERROR(INDEX('2.1 Cursos'!$B$2:$B$61,MATCH(A14,'2.1 Cursos'!$A$2:$A$61,0)),"")</f>
        <v/>
      </c>
      <c r="I14" t="str">
        <f>IFERROR(INDEX('2.4 Curriculos'!$C$2:$C$61,MATCH(B14,'2.4 Curriculos'!$B$2:$B$61,0)),"")</f>
        <v/>
      </c>
      <c r="J14" t="str">
        <f>IFERROR(INDEX('2.2 Disciplinas'!$B$2:$B$61,MATCH(C14,'2.2 Disciplinas'!$A$2:$A$61,0)),"")</f>
        <v/>
      </c>
      <c r="K14" t="str">
        <f>IFERROR(INDEX(Listas!$N$2:$N$4,MATCH(D14,Listas!$M$2:$M$4,0)),"")</f>
        <v/>
      </c>
      <c r="L14" t="str">
        <f t="shared" si="0"/>
        <v/>
      </c>
      <c r="M14" t="str">
        <f t="shared" si="1"/>
        <v/>
      </c>
    </row>
    <row r="15" spans="1:13" x14ac:dyDescent="0.35">
      <c r="H15" t="str">
        <f>IFERROR(INDEX('2.1 Cursos'!$B$2:$B$61,MATCH(A15,'2.1 Cursos'!$A$2:$A$61,0)),"")</f>
        <v/>
      </c>
      <c r="I15" t="str">
        <f>IFERROR(INDEX('2.4 Curriculos'!$C$2:$C$61,MATCH(B15,'2.4 Curriculos'!$B$2:$B$61,0)),"")</f>
        <v/>
      </c>
      <c r="J15" t="str">
        <f>IFERROR(INDEX('2.2 Disciplinas'!$B$2:$B$61,MATCH(C15,'2.2 Disciplinas'!$A$2:$A$61,0)),"")</f>
        <v/>
      </c>
      <c r="K15" t="str">
        <f>IFERROR(INDEX(Listas!$N$2:$N$4,MATCH(D15,Listas!$M$2:$M$4,0)),"")</f>
        <v/>
      </c>
      <c r="L15" t="str">
        <f t="shared" si="0"/>
        <v/>
      </c>
      <c r="M15" t="str">
        <f t="shared" si="1"/>
        <v/>
      </c>
    </row>
    <row r="16" spans="1:13" x14ac:dyDescent="0.35">
      <c r="H16" t="str">
        <f>IFERROR(INDEX('2.1 Cursos'!$B$2:$B$61,MATCH(A16,'2.1 Cursos'!$A$2:$A$61,0)),"")</f>
        <v/>
      </c>
      <c r="I16" t="str">
        <f>IFERROR(INDEX('2.4 Curriculos'!$C$2:$C$61,MATCH(B16,'2.4 Curriculos'!$B$2:$B$61,0)),"")</f>
        <v/>
      </c>
      <c r="J16" t="str">
        <f>IFERROR(INDEX('2.2 Disciplinas'!$B$2:$B$61,MATCH(C16,'2.2 Disciplinas'!$A$2:$A$61,0)),"")</f>
        <v/>
      </c>
      <c r="K16" t="str">
        <f>IFERROR(INDEX(Listas!$N$2:$N$4,MATCH(D16,Listas!$M$2:$M$4,0)),"")</f>
        <v/>
      </c>
      <c r="L16" t="str">
        <f t="shared" si="0"/>
        <v/>
      </c>
      <c r="M16" t="str">
        <f t="shared" si="1"/>
        <v/>
      </c>
    </row>
    <row r="17" spans="8:13" x14ac:dyDescent="0.35">
      <c r="H17" t="str">
        <f>IFERROR(INDEX('2.1 Cursos'!$B$2:$B$61,MATCH(A17,'2.1 Cursos'!$A$2:$A$61,0)),"")</f>
        <v/>
      </c>
      <c r="I17" t="str">
        <f>IFERROR(INDEX('2.4 Curriculos'!$C$2:$C$61,MATCH(B17,'2.4 Curriculos'!$B$2:$B$61,0)),"")</f>
        <v/>
      </c>
      <c r="J17" t="str">
        <f>IFERROR(INDEX('2.2 Disciplinas'!$B$2:$B$61,MATCH(C17,'2.2 Disciplinas'!$A$2:$A$61,0)),"")</f>
        <v/>
      </c>
      <c r="K17" t="str">
        <f>IFERROR(INDEX(Listas!$N$2:$N$4,MATCH(D17,Listas!$M$2:$M$4,0)),"")</f>
        <v/>
      </c>
      <c r="L17" t="str">
        <f t="shared" si="0"/>
        <v/>
      </c>
      <c r="M17" t="str">
        <f t="shared" si="1"/>
        <v/>
      </c>
    </row>
    <row r="18" spans="8:13" x14ac:dyDescent="0.35">
      <c r="H18" t="str">
        <f>IFERROR(INDEX('2.1 Cursos'!$B$2:$B$61,MATCH(A18,'2.1 Cursos'!$A$2:$A$61,0)),"")</f>
        <v/>
      </c>
      <c r="I18" t="str">
        <f>IFERROR(INDEX('2.4 Curriculos'!$C$2:$C$61,MATCH(B18,'2.4 Curriculos'!$B$2:$B$61,0)),"")</f>
        <v/>
      </c>
      <c r="J18" t="str">
        <f>IFERROR(INDEX('2.2 Disciplinas'!$B$2:$B$61,MATCH(C18,'2.2 Disciplinas'!$A$2:$A$61,0)),"")</f>
        <v/>
      </c>
      <c r="K18" t="str">
        <f>IFERROR(INDEX(Listas!$N$2:$N$4,MATCH(D18,Listas!$M$2:$M$4,0)),"")</f>
        <v/>
      </c>
      <c r="L18" t="str">
        <f t="shared" si="0"/>
        <v/>
      </c>
      <c r="M18" t="str">
        <f t="shared" si="1"/>
        <v/>
      </c>
    </row>
    <row r="19" spans="8:13" x14ac:dyDescent="0.35">
      <c r="H19" t="str">
        <f>IFERROR(INDEX('2.1 Cursos'!$B$2:$B$61,MATCH(A19,'2.1 Cursos'!$A$2:$A$61,0)),"")</f>
        <v/>
      </c>
      <c r="I19" t="str">
        <f>IFERROR(INDEX('2.4 Curriculos'!$C$2:$C$61,MATCH(B19,'2.4 Curriculos'!$B$2:$B$61,0)),"")</f>
        <v/>
      </c>
      <c r="J19" t="str">
        <f>IFERROR(INDEX('2.2 Disciplinas'!$B$2:$B$61,MATCH(C19,'2.2 Disciplinas'!$A$2:$A$61,0)),"")</f>
        <v/>
      </c>
      <c r="K19" t="str">
        <f>IFERROR(INDEX(Listas!$N$2:$N$4,MATCH(D19,Listas!$M$2:$M$4,0)),"")</f>
        <v/>
      </c>
      <c r="L19" t="str">
        <f t="shared" si="0"/>
        <v/>
      </c>
      <c r="M19" t="str">
        <f t="shared" si="1"/>
        <v/>
      </c>
    </row>
    <row r="20" spans="8:13" x14ac:dyDescent="0.35">
      <c r="H20" t="str">
        <f>IFERROR(INDEX('2.1 Cursos'!$B$2:$B$61,MATCH(A20,'2.1 Cursos'!$A$2:$A$61,0)),"")</f>
        <v/>
      </c>
      <c r="I20" t="str">
        <f>IFERROR(INDEX('2.4 Curriculos'!$C$2:$C$61,MATCH(B20,'2.4 Curriculos'!$B$2:$B$61,0)),"")</f>
        <v/>
      </c>
      <c r="J20" t="str">
        <f>IFERROR(INDEX('2.2 Disciplinas'!$B$2:$B$61,MATCH(C20,'2.2 Disciplinas'!$A$2:$A$61,0)),"")</f>
        <v/>
      </c>
      <c r="K20" t="str">
        <f>IFERROR(INDEX(Listas!$N$2:$N$4,MATCH(D20,Listas!$M$2:$M$4,0)),"")</f>
        <v/>
      </c>
      <c r="L20" t="str">
        <f t="shared" si="0"/>
        <v/>
      </c>
      <c r="M20" t="str">
        <f t="shared" si="1"/>
        <v/>
      </c>
    </row>
    <row r="21" spans="8:13" x14ac:dyDescent="0.35">
      <c r="H21" t="str">
        <f>IFERROR(INDEX('2.1 Cursos'!$B$2:$B$61,MATCH(A21,'2.1 Cursos'!$A$2:$A$61,0)),"")</f>
        <v/>
      </c>
      <c r="I21" t="str">
        <f>IFERROR(INDEX('2.4 Curriculos'!$C$2:$C$61,MATCH(B21,'2.4 Curriculos'!$B$2:$B$61,0)),"")</f>
        <v/>
      </c>
      <c r="J21" t="str">
        <f>IFERROR(INDEX('2.2 Disciplinas'!$B$2:$B$61,MATCH(C21,'2.2 Disciplinas'!$A$2:$A$61,0)),"")</f>
        <v/>
      </c>
      <c r="K21" t="str">
        <f>IFERROR(INDEX(Listas!$N$2:$N$4,MATCH(D21,Listas!$M$2:$M$4,0)),"")</f>
        <v/>
      </c>
      <c r="L21" t="str">
        <f t="shared" si="0"/>
        <v/>
      </c>
      <c r="M21" t="str">
        <f t="shared" si="1"/>
        <v/>
      </c>
    </row>
    <row r="22" spans="8:13" x14ac:dyDescent="0.35">
      <c r="H22" t="str">
        <f>IFERROR(INDEX('2.1 Cursos'!$B$2:$B$61,MATCH(A22,'2.1 Cursos'!$A$2:$A$61,0)),"")</f>
        <v/>
      </c>
      <c r="I22" t="str">
        <f>IFERROR(INDEX('2.4 Curriculos'!$C$2:$C$61,MATCH(B22,'2.4 Curriculos'!$B$2:$B$61,0)),"")</f>
        <v/>
      </c>
      <c r="J22" t="str">
        <f>IFERROR(INDEX('2.2 Disciplinas'!$B$2:$B$61,MATCH(C22,'2.2 Disciplinas'!$A$2:$A$61,0)),"")</f>
        <v/>
      </c>
      <c r="K22" t="str">
        <f>IFERROR(INDEX(Listas!$N$2:$N$4,MATCH(D22,Listas!$M$2:$M$4,0)),"")</f>
        <v/>
      </c>
      <c r="L22" t="str">
        <f t="shared" si="0"/>
        <v/>
      </c>
      <c r="M22" t="str">
        <f t="shared" si="1"/>
        <v/>
      </c>
    </row>
    <row r="23" spans="8:13" x14ac:dyDescent="0.35">
      <c r="H23" t="str">
        <f>IFERROR(INDEX('2.1 Cursos'!$B$2:$B$61,MATCH(A23,'2.1 Cursos'!$A$2:$A$61,0)),"")</f>
        <v/>
      </c>
      <c r="I23" t="str">
        <f>IFERROR(INDEX('2.4 Curriculos'!$C$2:$C$61,MATCH(B23,'2.4 Curriculos'!$B$2:$B$61,0)),"")</f>
        <v/>
      </c>
      <c r="J23" t="str">
        <f>IFERROR(INDEX('2.2 Disciplinas'!$B$2:$B$61,MATCH(C23,'2.2 Disciplinas'!$A$2:$A$61,0)),"")</f>
        <v/>
      </c>
      <c r="K23" t="str">
        <f>IFERROR(INDEX(Listas!$N$2:$N$4,MATCH(D23,Listas!$M$2:$M$4,0)),"")</f>
        <v/>
      </c>
      <c r="L23" t="str">
        <f t="shared" si="0"/>
        <v/>
      </c>
      <c r="M23" t="str">
        <f t="shared" si="1"/>
        <v/>
      </c>
    </row>
    <row r="24" spans="8:13" x14ac:dyDescent="0.35">
      <c r="H24" t="str">
        <f>IFERROR(INDEX('2.1 Cursos'!$B$2:$B$61,MATCH(A24,'2.1 Cursos'!$A$2:$A$61,0)),"")</f>
        <v/>
      </c>
      <c r="I24" t="str">
        <f>IFERROR(INDEX('2.4 Curriculos'!$C$2:$C$61,MATCH(B24,'2.4 Curriculos'!$B$2:$B$61,0)),"")</f>
        <v/>
      </c>
      <c r="J24" t="str">
        <f>IFERROR(INDEX('2.2 Disciplinas'!$B$2:$B$61,MATCH(C24,'2.2 Disciplinas'!$A$2:$A$61,0)),"")</f>
        <v/>
      </c>
      <c r="K24" t="str">
        <f>IFERROR(INDEX(Listas!$N$2:$N$4,MATCH(D24,Listas!$M$2:$M$4,0)),"")</f>
        <v/>
      </c>
      <c r="L24" t="str">
        <f t="shared" si="0"/>
        <v/>
      </c>
      <c r="M24" t="str">
        <f t="shared" si="1"/>
        <v/>
      </c>
    </row>
    <row r="25" spans="8:13" x14ac:dyDescent="0.35">
      <c r="H25" t="str">
        <f>IFERROR(INDEX('2.1 Cursos'!$B$2:$B$61,MATCH(A25,'2.1 Cursos'!$A$2:$A$61,0)),"")</f>
        <v/>
      </c>
      <c r="I25" t="str">
        <f>IFERROR(INDEX('2.4 Curriculos'!$C$2:$C$61,MATCH(B25,'2.4 Curriculos'!$B$2:$B$61,0)),"")</f>
        <v/>
      </c>
      <c r="J25" t="str">
        <f>IFERROR(INDEX('2.2 Disciplinas'!$B$2:$B$61,MATCH(C25,'2.2 Disciplinas'!$A$2:$A$61,0)),"")</f>
        <v/>
      </c>
      <c r="K25" t="str">
        <f>IFERROR(INDEX(Listas!$N$2:$N$4,MATCH(D25,Listas!$M$2:$M$4,0)),"")</f>
        <v/>
      </c>
      <c r="L25" t="str">
        <f t="shared" si="0"/>
        <v/>
      </c>
      <c r="M25" t="str">
        <f t="shared" si="1"/>
        <v/>
      </c>
    </row>
    <row r="26" spans="8:13" x14ac:dyDescent="0.35">
      <c r="H26" t="str">
        <f>IFERROR(INDEX('2.1 Cursos'!$B$2:$B$61,MATCH(A26,'2.1 Cursos'!$A$2:$A$61,0)),"")</f>
        <v/>
      </c>
      <c r="I26" t="str">
        <f>IFERROR(INDEX('2.4 Curriculos'!$C$2:$C$61,MATCH(B26,'2.4 Curriculos'!$B$2:$B$61,0)),"")</f>
        <v/>
      </c>
      <c r="J26" t="str">
        <f>IFERROR(INDEX('2.2 Disciplinas'!$B$2:$B$61,MATCH(C26,'2.2 Disciplinas'!$A$2:$A$61,0)),"")</f>
        <v/>
      </c>
      <c r="K26" t="str">
        <f>IFERROR(INDEX(Listas!$N$2:$N$4,MATCH(D26,Listas!$M$2:$M$4,0)),"")</f>
        <v/>
      </c>
      <c r="L26" t="str">
        <f t="shared" si="0"/>
        <v/>
      </c>
      <c r="M26" t="str">
        <f t="shared" si="1"/>
        <v/>
      </c>
    </row>
    <row r="27" spans="8:13" x14ac:dyDescent="0.35">
      <c r="H27" t="str">
        <f>IFERROR(INDEX('2.1 Cursos'!$B$2:$B$61,MATCH(A27,'2.1 Cursos'!$A$2:$A$61,0)),"")</f>
        <v/>
      </c>
      <c r="I27" t="str">
        <f>IFERROR(INDEX('2.4 Curriculos'!$C$2:$C$61,MATCH(B27,'2.4 Curriculos'!$B$2:$B$61,0)),"")</f>
        <v/>
      </c>
      <c r="J27" t="str">
        <f>IFERROR(INDEX('2.2 Disciplinas'!$B$2:$B$61,MATCH(C27,'2.2 Disciplinas'!$A$2:$A$61,0)),"")</f>
        <v/>
      </c>
      <c r="K27" t="str">
        <f>IFERROR(INDEX(Listas!$N$2:$N$4,MATCH(D27,Listas!$M$2:$M$4,0)),"")</f>
        <v/>
      </c>
      <c r="L27" t="str">
        <f t="shared" si="0"/>
        <v/>
      </c>
      <c r="M27" t="str">
        <f t="shared" si="1"/>
        <v/>
      </c>
    </row>
    <row r="28" spans="8:13" x14ac:dyDescent="0.35">
      <c r="H28" t="str">
        <f>IFERROR(INDEX('2.1 Cursos'!$B$2:$B$61,MATCH(A28,'2.1 Cursos'!$A$2:$A$61,0)),"")</f>
        <v/>
      </c>
      <c r="I28" t="str">
        <f>IFERROR(INDEX('2.4 Curriculos'!$C$2:$C$61,MATCH(B28,'2.4 Curriculos'!$B$2:$B$61,0)),"")</f>
        <v/>
      </c>
      <c r="J28" t="str">
        <f>IFERROR(INDEX('2.2 Disciplinas'!$B$2:$B$61,MATCH(C28,'2.2 Disciplinas'!$A$2:$A$61,0)),"")</f>
        <v/>
      </c>
      <c r="K28" t="str">
        <f>IFERROR(INDEX(Listas!$N$2:$N$4,MATCH(D28,Listas!$M$2:$M$4,0)),"")</f>
        <v/>
      </c>
      <c r="L28" t="str">
        <f t="shared" si="0"/>
        <v/>
      </c>
      <c r="M28" t="str">
        <f t="shared" si="1"/>
        <v/>
      </c>
    </row>
    <row r="29" spans="8:13" x14ac:dyDescent="0.35">
      <c r="H29" t="str">
        <f>IFERROR(INDEX('2.1 Cursos'!$B$2:$B$61,MATCH(A29,'2.1 Cursos'!$A$2:$A$61,0)),"")</f>
        <v/>
      </c>
      <c r="I29" t="str">
        <f>IFERROR(INDEX('2.4 Curriculos'!$C$2:$C$61,MATCH(B29,'2.4 Curriculos'!$B$2:$B$61,0)),"")</f>
        <v/>
      </c>
      <c r="J29" t="str">
        <f>IFERROR(INDEX('2.2 Disciplinas'!$B$2:$B$61,MATCH(C29,'2.2 Disciplinas'!$A$2:$A$61,0)),"")</f>
        <v/>
      </c>
      <c r="K29" t="str">
        <f>IFERROR(INDEX(Listas!$N$2:$N$4,MATCH(D29,Listas!$M$2:$M$4,0)),"")</f>
        <v/>
      </c>
      <c r="L29" t="str">
        <f t="shared" si="0"/>
        <v/>
      </c>
      <c r="M29" t="str">
        <f t="shared" si="1"/>
        <v/>
      </c>
    </row>
    <row r="30" spans="8:13" x14ac:dyDescent="0.35">
      <c r="H30" t="str">
        <f>IFERROR(INDEX('2.1 Cursos'!$B$2:$B$61,MATCH(A30,'2.1 Cursos'!$A$2:$A$61,0)),"")</f>
        <v/>
      </c>
      <c r="I30" t="str">
        <f>IFERROR(INDEX('2.4 Curriculos'!$C$2:$C$61,MATCH(B30,'2.4 Curriculos'!$B$2:$B$61,0)),"")</f>
        <v/>
      </c>
      <c r="J30" t="str">
        <f>IFERROR(INDEX('2.2 Disciplinas'!$B$2:$B$61,MATCH(C30,'2.2 Disciplinas'!$A$2:$A$61,0)),"")</f>
        <v/>
      </c>
      <c r="K30" t="str">
        <f>IFERROR(INDEX(Listas!$N$2:$N$4,MATCH(D30,Listas!$M$2:$M$4,0)),"")</f>
        <v/>
      </c>
      <c r="L30" t="str">
        <f t="shared" si="0"/>
        <v/>
      </c>
      <c r="M30" t="str">
        <f t="shared" si="1"/>
        <v/>
      </c>
    </row>
    <row r="31" spans="8:13" x14ac:dyDescent="0.35">
      <c r="H31" t="str">
        <f>IFERROR(INDEX('2.1 Cursos'!$B$2:$B$61,MATCH(A31,'2.1 Cursos'!$A$2:$A$61,0)),"")</f>
        <v/>
      </c>
      <c r="I31" t="str">
        <f>IFERROR(INDEX('2.4 Curriculos'!$C$2:$C$61,MATCH(B31,'2.4 Curriculos'!$B$2:$B$61,0)),"")</f>
        <v/>
      </c>
      <c r="J31" t="str">
        <f>IFERROR(INDEX('2.2 Disciplinas'!$B$2:$B$61,MATCH(C31,'2.2 Disciplinas'!$A$2:$A$61,0)),"")</f>
        <v/>
      </c>
      <c r="K31" t="str">
        <f>IFERROR(INDEX(Listas!$N$2:$N$4,MATCH(D31,Listas!$M$2:$M$4,0)),"")</f>
        <v/>
      </c>
      <c r="L31" t="str">
        <f t="shared" si="0"/>
        <v/>
      </c>
      <c r="M31" t="str">
        <f t="shared" si="1"/>
        <v/>
      </c>
    </row>
    <row r="32" spans="8:13" x14ac:dyDescent="0.35">
      <c r="H32" t="str">
        <f>IFERROR(INDEX('2.1 Cursos'!$B$2:$B$61,MATCH(A32,'2.1 Cursos'!$A$2:$A$61,0)),"")</f>
        <v/>
      </c>
      <c r="I32" t="str">
        <f>IFERROR(INDEX('2.4 Curriculos'!$C$2:$C$61,MATCH(B32,'2.4 Curriculos'!$B$2:$B$61,0)),"")</f>
        <v/>
      </c>
      <c r="J32" t="str">
        <f>IFERROR(INDEX('2.2 Disciplinas'!$B$2:$B$61,MATCH(C32,'2.2 Disciplinas'!$A$2:$A$61,0)),"")</f>
        <v/>
      </c>
      <c r="K32" t="str">
        <f>IFERROR(INDEX(Listas!$N$2:$N$4,MATCH(D32,Listas!$M$2:$M$4,0)),"")</f>
        <v/>
      </c>
      <c r="L32" t="str">
        <f t="shared" si="0"/>
        <v/>
      </c>
      <c r="M32" t="str">
        <f t="shared" si="1"/>
        <v/>
      </c>
    </row>
    <row r="33" spans="8:13" x14ac:dyDescent="0.35">
      <c r="H33" t="str">
        <f>IFERROR(INDEX('2.1 Cursos'!$B$2:$B$61,MATCH(A33,'2.1 Cursos'!$A$2:$A$61,0)),"")</f>
        <v/>
      </c>
      <c r="I33" t="str">
        <f>IFERROR(INDEX('2.4 Curriculos'!$C$2:$C$61,MATCH(B33,'2.4 Curriculos'!$B$2:$B$61,0)),"")</f>
        <v/>
      </c>
      <c r="J33" t="str">
        <f>IFERROR(INDEX('2.2 Disciplinas'!$B$2:$B$61,MATCH(C33,'2.2 Disciplinas'!$A$2:$A$61,0)),"")</f>
        <v/>
      </c>
      <c r="K33" t="str">
        <f>IFERROR(INDEX(Listas!$N$2:$N$4,MATCH(D33,Listas!$M$2:$M$4,0)),"")</f>
        <v/>
      </c>
      <c r="L33" t="str">
        <f t="shared" si="0"/>
        <v/>
      </c>
      <c r="M33" t="str">
        <f t="shared" si="1"/>
        <v/>
      </c>
    </row>
    <row r="34" spans="8:13" x14ac:dyDescent="0.35">
      <c r="H34" t="str">
        <f>IFERROR(INDEX('2.1 Cursos'!$B$2:$B$61,MATCH(A34,'2.1 Cursos'!$A$2:$A$61,0)),"")</f>
        <v/>
      </c>
      <c r="I34" t="str">
        <f>IFERROR(INDEX('2.4 Curriculos'!$C$2:$C$61,MATCH(B34,'2.4 Curriculos'!$B$2:$B$61,0)),"")</f>
        <v/>
      </c>
      <c r="J34" t="str">
        <f>IFERROR(INDEX('2.2 Disciplinas'!$B$2:$B$61,MATCH(C34,'2.2 Disciplinas'!$A$2:$A$61,0)),"")</f>
        <v/>
      </c>
      <c r="K34" t="str">
        <f>IFERROR(INDEX(Listas!$N$2:$N$4,MATCH(D34,Listas!$M$2:$M$4,0)),"")</f>
        <v/>
      </c>
      <c r="L34" t="str">
        <f t="shared" ref="L34:L61" si="2">IF(E34="","",E34)</f>
        <v/>
      </c>
      <c r="M34" t="str">
        <f t="shared" ref="M34:M61" si="3">IF(F34="","",F34)</f>
        <v/>
      </c>
    </row>
    <row r="35" spans="8:13" x14ac:dyDescent="0.35">
      <c r="H35" t="str">
        <f>IFERROR(INDEX('2.1 Cursos'!$B$2:$B$61,MATCH(A35,'2.1 Cursos'!$A$2:$A$61,0)),"")</f>
        <v/>
      </c>
      <c r="I35" t="str">
        <f>IFERROR(INDEX('2.4 Curriculos'!$C$2:$C$61,MATCH(B35,'2.4 Curriculos'!$B$2:$B$61,0)),"")</f>
        <v/>
      </c>
      <c r="J35" t="str">
        <f>IFERROR(INDEX('2.2 Disciplinas'!$B$2:$B$61,MATCH(C35,'2.2 Disciplinas'!$A$2:$A$61,0)),"")</f>
        <v/>
      </c>
      <c r="K35" t="str">
        <f>IFERROR(INDEX(Listas!$N$2:$N$4,MATCH(D35,Listas!$M$2:$M$4,0)),"")</f>
        <v/>
      </c>
      <c r="L35" t="str">
        <f t="shared" si="2"/>
        <v/>
      </c>
      <c r="M35" t="str">
        <f t="shared" si="3"/>
        <v/>
      </c>
    </row>
    <row r="36" spans="8:13" x14ac:dyDescent="0.35">
      <c r="H36" t="str">
        <f>IFERROR(INDEX('2.1 Cursos'!$B$2:$B$61,MATCH(A36,'2.1 Cursos'!$A$2:$A$61,0)),"")</f>
        <v/>
      </c>
      <c r="I36" t="str">
        <f>IFERROR(INDEX('2.4 Curriculos'!$C$2:$C$61,MATCH(B36,'2.4 Curriculos'!$B$2:$B$61,0)),"")</f>
        <v/>
      </c>
      <c r="J36" t="str">
        <f>IFERROR(INDEX('2.2 Disciplinas'!$B$2:$B$61,MATCH(C36,'2.2 Disciplinas'!$A$2:$A$61,0)),"")</f>
        <v/>
      </c>
      <c r="K36" t="str">
        <f>IFERROR(INDEX(Listas!$N$2:$N$4,MATCH(D36,Listas!$M$2:$M$4,0)),"")</f>
        <v/>
      </c>
      <c r="L36" t="str">
        <f t="shared" si="2"/>
        <v/>
      </c>
      <c r="M36" t="str">
        <f t="shared" si="3"/>
        <v/>
      </c>
    </row>
    <row r="37" spans="8:13" x14ac:dyDescent="0.35">
      <c r="H37" t="str">
        <f>IFERROR(INDEX('2.1 Cursos'!$B$2:$B$61,MATCH(A37,'2.1 Cursos'!$A$2:$A$61,0)),"")</f>
        <v/>
      </c>
      <c r="I37" t="str">
        <f>IFERROR(INDEX('2.4 Curriculos'!$C$2:$C$61,MATCH(B37,'2.4 Curriculos'!$B$2:$B$61,0)),"")</f>
        <v/>
      </c>
      <c r="J37" t="str">
        <f>IFERROR(INDEX('2.2 Disciplinas'!$B$2:$B$61,MATCH(C37,'2.2 Disciplinas'!$A$2:$A$61,0)),"")</f>
        <v/>
      </c>
      <c r="K37" t="str">
        <f>IFERROR(INDEX(Listas!$N$2:$N$4,MATCH(D37,Listas!$M$2:$M$4,0)),"")</f>
        <v/>
      </c>
      <c r="L37" t="str">
        <f t="shared" si="2"/>
        <v/>
      </c>
      <c r="M37" t="str">
        <f t="shared" si="3"/>
        <v/>
      </c>
    </row>
    <row r="38" spans="8:13" x14ac:dyDescent="0.35">
      <c r="H38" t="str">
        <f>IFERROR(INDEX('2.1 Cursos'!$B$2:$B$61,MATCH(A38,'2.1 Cursos'!$A$2:$A$61,0)),"")</f>
        <v/>
      </c>
      <c r="I38" t="str">
        <f>IFERROR(INDEX('2.4 Curriculos'!$C$2:$C$61,MATCH(B38,'2.4 Curriculos'!$B$2:$B$61,0)),"")</f>
        <v/>
      </c>
      <c r="J38" t="str">
        <f>IFERROR(INDEX('2.2 Disciplinas'!$B$2:$B$61,MATCH(C38,'2.2 Disciplinas'!$A$2:$A$61,0)),"")</f>
        <v/>
      </c>
      <c r="K38" t="str">
        <f>IFERROR(INDEX(Listas!$N$2:$N$4,MATCH(D38,Listas!$M$2:$M$4,0)),"")</f>
        <v/>
      </c>
      <c r="L38" t="str">
        <f t="shared" si="2"/>
        <v/>
      </c>
      <c r="M38" t="str">
        <f t="shared" si="3"/>
        <v/>
      </c>
    </row>
    <row r="39" spans="8:13" x14ac:dyDescent="0.35">
      <c r="H39" t="str">
        <f>IFERROR(INDEX('2.1 Cursos'!$B$2:$B$61,MATCH(A39,'2.1 Cursos'!$A$2:$A$61,0)),"")</f>
        <v/>
      </c>
      <c r="I39" t="str">
        <f>IFERROR(INDEX('2.4 Curriculos'!$C$2:$C$61,MATCH(B39,'2.4 Curriculos'!$B$2:$B$61,0)),"")</f>
        <v/>
      </c>
      <c r="J39" t="str">
        <f>IFERROR(INDEX('2.2 Disciplinas'!$B$2:$B$61,MATCH(C39,'2.2 Disciplinas'!$A$2:$A$61,0)),"")</f>
        <v/>
      </c>
      <c r="K39" t="str">
        <f>IFERROR(INDEX(Listas!$N$2:$N$4,MATCH(D39,Listas!$M$2:$M$4,0)),"")</f>
        <v/>
      </c>
      <c r="L39" t="str">
        <f t="shared" si="2"/>
        <v/>
      </c>
      <c r="M39" t="str">
        <f t="shared" si="3"/>
        <v/>
      </c>
    </row>
    <row r="40" spans="8:13" x14ac:dyDescent="0.35">
      <c r="H40" t="str">
        <f>IFERROR(INDEX('2.1 Cursos'!$B$2:$B$61,MATCH(A40,'2.1 Cursos'!$A$2:$A$61,0)),"")</f>
        <v/>
      </c>
      <c r="I40" t="str">
        <f>IFERROR(INDEX('2.4 Curriculos'!$C$2:$C$61,MATCH(B40,'2.4 Curriculos'!$B$2:$B$61,0)),"")</f>
        <v/>
      </c>
      <c r="J40" t="str">
        <f>IFERROR(INDEX('2.2 Disciplinas'!$B$2:$B$61,MATCH(C40,'2.2 Disciplinas'!$A$2:$A$61,0)),"")</f>
        <v/>
      </c>
      <c r="K40" t="str">
        <f>IFERROR(INDEX(Listas!$N$2:$N$4,MATCH(D40,Listas!$M$2:$M$4,0)),"")</f>
        <v/>
      </c>
      <c r="L40" t="str">
        <f t="shared" si="2"/>
        <v/>
      </c>
      <c r="M40" t="str">
        <f t="shared" si="3"/>
        <v/>
      </c>
    </row>
    <row r="41" spans="8:13" x14ac:dyDescent="0.35">
      <c r="H41" t="str">
        <f>IFERROR(INDEX('2.1 Cursos'!$B$2:$B$61,MATCH(A41,'2.1 Cursos'!$A$2:$A$61,0)),"")</f>
        <v/>
      </c>
      <c r="I41" t="str">
        <f>IFERROR(INDEX('2.4 Curriculos'!$C$2:$C$61,MATCH(B41,'2.4 Curriculos'!$B$2:$B$61,0)),"")</f>
        <v/>
      </c>
      <c r="J41" t="str">
        <f>IFERROR(INDEX('2.2 Disciplinas'!$B$2:$B$61,MATCH(C41,'2.2 Disciplinas'!$A$2:$A$61,0)),"")</f>
        <v/>
      </c>
      <c r="K41" t="str">
        <f>IFERROR(INDEX(Listas!$N$2:$N$4,MATCH(D41,Listas!$M$2:$M$4,0)),"")</f>
        <v/>
      </c>
      <c r="L41" t="str">
        <f t="shared" si="2"/>
        <v/>
      </c>
      <c r="M41" t="str">
        <f t="shared" si="3"/>
        <v/>
      </c>
    </row>
    <row r="42" spans="8:13" x14ac:dyDescent="0.35">
      <c r="H42" t="str">
        <f>IFERROR(INDEX('2.1 Cursos'!$B$2:$B$61,MATCH(A42,'2.1 Cursos'!$A$2:$A$61,0)),"")</f>
        <v/>
      </c>
      <c r="I42" t="str">
        <f>IFERROR(INDEX('2.4 Curriculos'!$C$2:$C$61,MATCH(B42,'2.4 Curriculos'!$B$2:$B$61,0)),"")</f>
        <v/>
      </c>
      <c r="J42" t="str">
        <f>IFERROR(INDEX('2.2 Disciplinas'!$B$2:$B$61,MATCH(C42,'2.2 Disciplinas'!$A$2:$A$61,0)),"")</f>
        <v/>
      </c>
      <c r="K42" t="str">
        <f>IFERROR(INDEX(Listas!$N$2:$N$4,MATCH(D42,Listas!$M$2:$M$4,0)),"")</f>
        <v/>
      </c>
      <c r="L42" t="str">
        <f t="shared" si="2"/>
        <v/>
      </c>
      <c r="M42" t="str">
        <f t="shared" si="3"/>
        <v/>
      </c>
    </row>
    <row r="43" spans="8:13" x14ac:dyDescent="0.35">
      <c r="H43" t="str">
        <f>IFERROR(INDEX('2.1 Cursos'!$B$2:$B$61,MATCH(A43,'2.1 Cursos'!$A$2:$A$61,0)),"")</f>
        <v/>
      </c>
      <c r="I43" t="str">
        <f>IFERROR(INDEX('2.4 Curriculos'!$C$2:$C$61,MATCH(B43,'2.4 Curriculos'!$B$2:$B$61,0)),"")</f>
        <v/>
      </c>
      <c r="J43" t="str">
        <f>IFERROR(INDEX('2.2 Disciplinas'!$B$2:$B$61,MATCH(C43,'2.2 Disciplinas'!$A$2:$A$61,0)),"")</f>
        <v/>
      </c>
      <c r="K43" t="str">
        <f>IFERROR(INDEX(Listas!$N$2:$N$4,MATCH(D43,Listas!$M$2:$M$4,0)),"")</f>
        <v/>
      </c>
      <c r="L43" t="str">
        <f t="shared" si="2"/>
        <v/>
      </c>
      <c r="M43" t="str">
        <f t="shared" si="3"/>
        <v/>
      </c>
    </row>
    <row r="44" spans="8:13" x14ac:dyDescent="0.35">
      <c r="H44" t="str">
        <f>IFERROR(INDEX('2.1 Cursos'!$B$2:$B$61,MATCH(A44,'2.1 Cursos'!$A$2:$A$61,0)),"")</f>
        <v/>
      </c>
      <c r="I44" t="str">
        <f>IFERROR(INDEX('2.4 Curriculos'!$C$2:$C$61,MATCH(B44,'2.4 Curriculos'!$B$2:$B$61,0)),"")</f>
        <v/>
      </c>
      <c r="J44" t="str">
        <f>IFERROR(INDEX('2.2 Disciplinas'!$B$2:$B$61,MATCH(C44,'2.2 Disciplinas'!$A$2:$A$61,0)),"")</f>
        <v/>
      </c>
      <c r="K44" t="str">
        <f>IFERROR(INDEX(Listas!$N$2:$N$4,MATCH(D44,Listas!$M$2:$M$4,0)),"")</f>
        <v/>
      </c>
      <c r="L44" t="str">
        <f t="shared" si="2"/>
        <v/>
      </c>
      <c r="M44" t="str">
        <f t="shared" si="3"/>
        <v/>
      </c>
    </row>
    <row r="45" spans="8:13" x14ac:dyDescent="0.35">
      <c r="H45" t="str">
        <f>IFERROR(INDEX('2.1 Cursos'!$B$2:$B$61,MATCH(A45,'2.1 Cursos'!$A$2:$A$61,0)),"")</f>
        <v/>
      </c>
      <c r="I45" t="str">
        <f>IFERROR(INDEX('2.4 Curriculos'!$C$2:$C$61,MATCH(B45,'2.4 Curriculos'!$B$2:$B$61,0)),"")</f>
        <v/>
      </c>
      <c r="J45" t="str">
        <f>IFERROR(INDEX('2.2 Disciplinas'!$B$2:$B$61,MATCH(C45,'2.2 Disciplinas'!$A$2:$A$61,0)),"")</f>
        <v/>
      </c>
      <c r="K45" t="str">
        <f>IFERROR(INDEX(Listas!$N$2:$N$4,MATCH(D45,Listas!$M$2:$M$4,0)),"")</f>
        <v/>
      </c>
      <c r="L45" t="str">
        <f t="shared" si="2"/>
        <v/>
      </c>
      <c r="M45" t="str">
        <f t="shared" si="3"/>
        <v/>
      </c>
    </row>
    <row r="46" spans="8:13" x14ac:dyDescent="0.35">
      <c r="H46" t="str">
        <f>IFERROR(INDEX('2.1 Cursos'!$B$2:$B$61,MATCH(A46,'2.1 Cursos'!$A$2:$A$61,0)),"")</f>
        <v/>
      </c>
      <c r="I46" t="str">
        <f>IFERROR(INDEX('2.4 Curriculos'!$C$2:$C$61,MATCH(B46,'2.4 Curriculos'!$B$2:$B$61,0)),"")</f>
        <v/>
      </c>
      <c r="J46" t="str">
        <f>IFERROR(INDEX('2.2 Disciplinas'!$B$2:$B$61,MATCH(C46,'2.2 Disciplinas'!$A$2:$A$61,0)),"")</f>
        <v/>
      </c>
      <c r="K46" t="str">
        <f>IFERROR(INDEX(Listas!$N$2:$N$4,MATCH(D46,Listas!$M$2:$M$4,0)),"")</f>
        <v/>
      </c>
      <c r="L46" t="str">
        <f t="shared" si="2"/>
        <v/>
      </c>
      <c r="M46" t="str">
        <f t="shared" si="3"/>
        <v/>
      </c>
    </row>
    <row r="47" spans="8:13" x14ac:dyDescent="0.35">
      <c r="H47" t="str">
        <f>IFERROR(INDEX('2.1 Cursos'!$B$2:$B$61,MATCH(A47,'2.1 Cursos'!$A$2:$A$61,0)),"")</f>
        <v/>
      </c>
      <c r="I47" t="str">
        <f>IFERROR(INDEX('2.4 Curriculos'!$C$2:$C$61,MATCH(B47,'2.4 Curriculos'!$B$2:$B$61,0)),"")</f>
        <v/>
      </c>
      <c r="J47" t="str">
        <f>IFERROR(INDEX('2.2 Disciplinas'!$B$2:$B$61,MATCH(C47,'2.2 Disciplinas'!$A$2:$A$61,0)),"")</f>
        <v/>
      </c>
      <c r="K47" t="str">
        <f>IFERROR(INDEX(Listas!$N$2:$N$4,MATCH(D47,Listas!$M$2:$M$4,0)),"")</f>
        <v/>
      </c>
      <c r="L47" t="str">
        <f t="shared" si="2"/>
        <v/>
      </c>
      <c r="M47" t="str">
        <f t="shared" si="3"/>
        <v/>
      </c>
    </row>
    <row r="48" spans="8:13" x14ac:dyDescent="0.35">
      <c r="H48" t="str">
        <f>IFERROR(INDEX('2.1 Cursos'!$B$2:$B$61,MATCH(A48,'2.1 Cursos'!$A$2:$A$61,0)),"")</f>
        <v/>
      </c>
      <c r="I48" t="str">
        <f>IFERROR(INDEX('2.4 Curriculos'!$C$2:$C$61,MATCH(B48,'2.4 Curriculos'!$B$2:$B$61,0)),"")</f>
        <v/>
      </c>
      <c r="J48" t="str">
        <f>IFERROR(INDEX('2.2 Disciplinas'!$B$2:$B$61,MATCH(C48,'2.2 Disciplinas'!$A$2:$A$61,0)),"")</f>
        <v/>
      </c>
      <c r="K48" t="str">
        <f>IFERROR(INDEX(Listas!$N$2:$N$4,MATCH(D48,Listas!$M$2:$M$4,0)),"")</f>
        <v/>
      </c>
      <c r="L48" t="str">
        <f t="shared" si="2"/>
        <v/>
      </c>
      <c r="M48" t="str">
        <f t="shared" si="3"/>
        <v/>
      </c>
    </row>
    <row r="49" spans="8:13" x14ac:dyDescent="0.35">
      <c r="H49" t="str">
        <f>IFERROR(INDEX('2.1 Cursos'!$B$2:$B$61,MATCH(A49,'2.1 Cursos'!$A$2:$A$61,0)),"")</f>
        <v/>
      </c>
      <c r="I49" t="str">
        <f>IFERROR(INDEX('2.4 Curriculos'!$C$2:$C$61,MATCH(B49,'2.4 Curriculos'!$B$2:$B$61,0)),"")</f>
        <v/>
      </c>
      <c r="J49" t="str">
        <f>IFERROR(INDEX('2.2 Disciplinas'!$B$2:$B$61,MATCH(C49,'2.2 Disciplinas'!$A$2:$A$61,0)),"")</f>
        <v/>
      </c>
      <c r="K49" t="str">
        <f>IFERROR(INDEX(Listas!$N$2:$N$4,MATCH(D49,Listas!$M$2:$M$4,0)),"")</f>
        <v/>
      </c>
      <c r="L49" t="str">
        <f t="shared" si="2"/>
        <v/>
      </c>
      <c r="M49" t="str">
        <f t="shared" si="3"/>
        <v/>
      </c>
    </row>
    <row r="50" spans="8:13" x14ac:dyDescent="0.35">
      <c r="H50" t="str">
        <f>IFERROR(INDEX('2.1 Cursos'!$B$2:$B$61,MATCH(A50,'2.1 Cursos'!$A$2:$A$61,0)),"")</f>
        <v/>
      </c>
      <c r="I50" t="str">
        <f>IFERROR(INDEX('2.4 Curriculos'!$C$2:$C$61,MATCH(B50,'2.4 Curriculos'!$B$2:$B$61,0)),"")</f>
        <v/>
      </c>
      <c r="J50" t="str">
        <f>IFERROR(INDEX('2.2 Disciplinas'!$B$2:$B$61,MATCH(C50,'2.2 Disciplinas'!$A$2:$A$61,0)),"")</f>
        <v/>
      </c>
      <c r="K50" t="str">
        <f>IFERROR(INDEX(Listas!$N$2:$N$4,MATCH(D50,Listas!$M$2:$M$4,0)),"")</f>
        <v/>
      </c>
      <c r="L50" t="str">
        <f t="shared" si="2"/>
        <v/>
      </c>
      <c r="M50" t="str">
        <f t="shared" si="3"/>
        <v/>
      </c>
    </row>
    <row r="51" spans="8:13" x14ac:dyDescent="0.35">
      <c r="H51" t="str">
        <f>IFERROR(INDEX('2.1 Cursos'!$B$2:$B$61,MATCH(A51,'2.1 Cursos'!$A$2:$A$61,0)),"")</f>
        <v/>
      </c>
      <c r="I51" t="str">
        <f>IFERROR(INDEX('2.4 Curriculos'!$C$2:$C$61,MATCH(B51,'2.4 Curriculos'!$B$2:$B$61,0)),"")</f>
        <v/>
      </c>
      <c r="J51" t="str">
        <f>IFERROR(INDEX('2.2 Disciplinas'!$B$2:$B$61,MATCH(C51,'2.2 Disciplinas'!$A$2:$A$61,0)),"")</f>
        <v/>
      </c>
      <c r="K51" t="str">
        <f>IFERROR(INDEX(Listas!$N$2:$N$4,MATCH(D51,Listas!$M$2:$M$4,0)),"")</f>
        <v/>
      </c>
      <c r="L51" t="str">
        <f t="shared" si="2"/>
        <v/>
      </c>
      <c r="M51" t="str">
        <f t="shared" si="3"/>
        <v/>
      </c>
    </row>
    <row r="52" spans="8:13" x14ac:dyDescent="0.35">
      <c r="H52" t="str">
        <f>IFERROR(INDEX('2.1 Cursos'!$B$2:$B$61,MATCH(A52,'2.1 Cursos'!$A$2:$A$61,0)),"")</f>
        <v/>
      </c>
      <c r="I52" t="str">
        <f>IFERROR(INDEX('2.4 Curriculos'!$C$2:$C$61,MATCH(B52,'2.4 Curriculos'!$B$2:$B$61,0)),"")</f>
        <v/>
      </c>
      <c r="J52" t="str">
        <f>IFERROR(INDEX('2.2 Disciplinas'!$B$2:$B$61,MATCH(C52,'2.2 Disciplinas'!$A$2:$A$61,0)),"")</f>
        <v/>
      </c>
      <c r="K52" t="str">
        <f>IFERROR(INDEX(Listas!$N$2:$N$4,MATCH(D52,Listas!$M$2:$M$4,0)),"")</f>
        <v/>
      </c>
      <c r="L52" t="str">
        <f t="shared" si="2"/>
        <v/>
      </c>
      <c r="M52" t="str">
        <f t="shared" si="3"/>
        <v/>
      </c>
    </row>
    <row r="53" spans="8:13" x14ac:dyDescent="0.35">
      <c r="H53" t="str">
        <f>IFERROR(INDEX('2.1 Cursos'!$B$2:$B$61,MATCH(A53,'2.1 Cursos'!$A$2:$A$61,0)),"")</f>
        <v/>
      </c>
      <c r="I53" t="str">
        <f>IFERROR(INDEX('2.4 Curriculos'!$C$2:$C$61,MATCH(B53,'2.4 Curriculos'!$B$2:$B$61,0)),"")</f>
        <v/>
      </c>
      <c r="J53" t="str">
        <f>IFERROR(INDEX('2.2 Disciplinas'!$B$2:$B$61,MATCH(C53,'2.2 Disciplinas'!$A$2:$A$61,0)),"")</f>
        <v/>
      </c>
      <c r="K53" t="str">
        <f>IFERROR(INDEX(Listas!$N$2:$N$4,MATCH(D53,Listas!$M$2:$M$4,0)),"")</f>
        <v/>
      </c>
      <c r="L53" t="str">
        <f t="shared" si="2"/>
        <v/>
      </c>
      <c r="M53" t="str">
        <f t="shared" si="3"/>
        <v/>
      </c>
    </row>
    <row r="54" spans="8:13" x14ac:dyDescent="0.35">
      <c r="H54" t="str">
        <f>IFERROR(INDEX('2.1 Cursos'!$B$2:$B$61,MATCH(A54,'2.1 Cursos'!$A$2:$A$61,0)),"")</f>
        <v/>
      </c>
      <c r="I54" t="str">
        <f>IFERROR(INDEX('2.4 Curriculos'!$C$2:$C$61,MATCH(B54,'2.4 Curriculos'!$B$2:$B$61,0)),"")</f>
        <v/>
      </c>
      <c r="J54" t="str">
        <f>IFERROR(INDEX('2.2 Disciplinas'!$B$2:$B$61,MATCH(C54,'2.2 Disciplinas'!$A$2:$A$61,0)),"")</f>
        <v/>
      </c>
      <c r="K54" t="str">
        <f>IFERROR(INDEX(Listas!$N$2:$N$4,MATCH(D54,Listas!$M$2:$M$4,0)),"")</f>
        <v/>
      </c>
      <c r="L54" t="str">
        <f t="shared" si="2"/>
        <v/>
      </c>
      <c r="M54" t="str">
        <f t="shared" si="3"/>
        <v/>
      </c>
    </row>
    <row r="55" spans="8:13" x14ac:dyDescent="0.35">
      <c r="H55" t="str">
        <f>IFERROR(INDEX('2.1 Cursos'!$B$2:$B$61,MATCH(A55,'2.1 Cursos'!$A$2:$A$61,0)),"")</f>
        <v/>
      </c>
      <c r="I55" t="str">
        <f>IFERROR(INDEX('2.4 Curriculos'!$C$2:$C$61,MATCH(B55,'2.4 Curriculos'!$B$2:$B$61,0)),"")</f>
        <v/>
      </c>
      <c r="J55" t="str">
        <f>IFERROR(INDEX('2.2 Disciplinas'!$B$2:$B$61,MATCH(C55,'2.2 Disciplinas'!$A$2:$A$61,0)),"")</f>
        <v/>
      </c>
      <c r="K55" t="str">
        <f>IFERROR(INDEX(Listas!$N$2:$N$4,MATCH(D55,Listas!$M$2:$M$4,0)),"")</f>
        <v/>
      </c>
      <c r="L55" t="str">
        <f t="shared" si="2"/>
        <v/>
      </c>
      <c r="M55" t="str">
        <f t="shared" si="3"/>
        <v/>
      </c>
    </row>
    <row r="56" spans="8:13" x14ac:dyDescent="0.35">
      <c r="H56" t="str">
        <f>IFERROR(INDEX('2.1 Cursos'!$B$2:$B$61,MATCH(A56,'2.1 Cursos'!$A$2:$A$61,0)),"")</f>
        <v/>
      </c>
      <c r="I56" t="str">
        <f>IFERROR(INDEX('2.4 Curriculos'!$C$2:$C$61,MATCH(B56,'2.4 Curriculos'!$B$2:$B$61,0)),"")</f>
        <v/>
      </c>
      <c r="J56" t="str">
        <f>IFERROR(INDEX('2.2 Disciplinas'!$B$2:$B$61,MATCH(C56,'2.2 Disciplinas'!$A$2:$A$61,0)),"")</f>
        <v/>
      </c>
      <c r="K56" t="str">
        <f>IFERROR(INDEX(Listas!$N$2:$N$4,MATCH(D56,Listas!$M$2:$M$4,0)),"")</f>
        <v/>
      </c>
      <c r="L56" t="str">
        <f t="shared" si="2"/>
        <v/>
      </c>
      <c r="M56" t="str">
        <f t="shared" si="3"/>
        <v/>
      </c>
    </row>
    <row r="57" spans="8:13" x14ac:dyDescent="0.35">
      <c r="H57" t="str">
        <f>IFERROR(INDEX('2.1 Cursos'!$B$2:$B$61,MATCH(A57,'2.1 Cursos'!$A$2:$A$61,0)),"")</f>
        <v/>
      </c>
      <c r="I57" t="str">
        <f>IFERROR(INDEX('2.4 Curriculos'!$C$2:$C$61,MATCH(B57,'2.4 Curriculos'!$B$2:$B$61,0)),"")</f>
        <v/>
      </c>
      <c r="J57" t="str">
        <f>IFERROR(INDEX('2.2 Disciplinas'!$B$2:$B$61,MATCH(C57,'2.2 Disciplinas'!$A$2:$A$61,0)),"")</f>
        <v/>
      </c>
      <c r="K57" t="str">
        <f>IFERROR(INDEX(Listas!$N$2:$N$4,MATCH(D57,Listas!$M$2:$M$4,0)),"")</f>
        <v/>
      </c>
      <c r="L57" t="str">
        <f t="shared" si="2"/>
        <v/>
      </c>
      <c r="M57" t="str">
        <f t="shared" si="3"/>
        <v/>
      </c>
    </row>
    <row r="58" spans="8:13" x14ac:dyDescent="0.35">
      <c r="H58" t="str">
        <f>IFERROR(INDEX('2.1 Cursos'!$B$2:$B$61,MATCH(A58,'2.1 Cursos'!$A$2:$A$61,0)),"")</f>
        <v/>
      </c>
      <c r="I58" t="str">
        <f>IFERROR(INDEX('2.4 Curriculos'!$C$2:$C$61,MATCH(B58,'2.4 Curriculos'!$B$2:$B$61,0)),"")</f>
        <v/>
      </c>
      <c r="J58" t="str">
        <f>IFERROR(INDEX('2.2 Disciplinas'!$B$2:$B$61,MATCH(C58,'2.2 Disciplinas'!$A$2:$A$61,0)),"")</f>
        <v/>
      </c>
      <c r="K58" t="str">
        <f>IFERROR(INDEX(Listas!$N$2:$N$4,MATCH(D58,Listas!$M$2:$M$4,0)),"")</f>
        <v/>
      </c>
      <c r="L58" t="str">
        <f t="shared" si="2"/>
        <v/>
      </c>
      <c r="M58" t="str">
        <f t="shared" si="3"/>
        <v/>
      </c>
    </row>
    <row r="59" spans="8:13" x14ac:dyDescent="0.35">
      <c r="H59" t="str">
        <f>IFERROR(INDEX('2.1 Cursos'!$B$2:$B$61,MATCH(A59,'2.1 Cursos'!$A$2:$A$61,0)),"")</f>
        <v/>
      </c>
      <c r="I59" t="str">
        <f>IFERROR(INDEX('2.4 Curriculos'!$C$2:$C$61,MATCH(B59,'2.4 Curriculos'!$B$2:$B$61,0)),"")</f>
        <v/>
      </c>
      <c r="J59" t="str">
        <f>IFERROR(INDEX('2.2 Disciplinas'!$B$2:$B$61,MATCH(C59,'2.2 Disciplinas'!$A$2:$A$61,0)),"")</f>
        <v/>
      </c>
      <c r="K59" t="str">
        <f>IFERROR(INDEX(Listas!$N$2:$N$4,MATCH(D59,Listas!$M$2:$M$4,0)),"")</f>
        <v/>
      </c>
      <c r="L59" t="str">
        <f t="shared" si="2"/>
        <v/>
      </c>
      <c r="M59" t="str">
        <f t="shared" si="3"/>
        <v/>
      </c>
    </row>
    <row r="60" spans="8:13" x14ac:dyDescent="0.35">
      <c r="H60" t="str">
        <f>IFERROR(INDEX('2.1 Cursos'!$B$2:$B$61,MATCH(A60,'2.1 Cursos'!$A$2:$A$61,0)),"")</f>
        <v/>
      </c>
      <c r="I60" t="str">
        <f>IFERROR(INDEX('2.4 Curriculos'!$C$2:$C$61,MATCH(B60,'2.4 Curriculos'!$B$2:$B$61,0)),"")</f>
        <v/>
      </c>
      <c r="J60" t="str">
        <f>IFERROR(INDEX('2.2 Disciplinas'!$B$2:$B$61,MATCH(C60,'2.2 Disciplinas'!$A$2:$A$61,0)),"")</f>
        <v/>
      </c>
      <c r="K60" t="str">
        <f>IFERROR(INDEX(Listas!$N$2:$N$4,MATCH(D60,Listas!$M$2:$M$4,0)),"")</f>
        <v/>
      </c>
      <c r="L60" t="str">
        <f t="shared" si="2"/>
        <v/>
      </c>
      <c r="M60" t="str">
        <f t="shared" si="3"/>
        <v/>
      </c>
    </row>
    <row r="61" spans="8:13" x14ac:dyDescent="0.35">
      <c r="H61" t="str">
        <f>IFERROR(INDEX('2.1 Cursos'!$B$2:$B$61,MATCH(A61,'2.1 Cursos'!$A$2:$A$61,0)),"")</f>
        <v/>
      </c>
      <c r="I61" t="str">
        <f>IFERROR(INDEX('2.4 Curriculos'!$C$2:$C$61,MATCH(B61,'2.4 Curriculos'!$B$2:$B$61,0)),"")</f>
        <v/>
      </c>
      <c r="J61" t="str">
        <f>IFERROR(INDEX('2.2 Disciplinas'!$B$2:$B$61,MATCH(C61,'2.2 Disciplinas'!$A$2:$A$61,0)),"")</f>
        <v/>
      </c>
      <c r="K61" t="str">
        <f>IFERROR(INDEX(Listas!$N$2:$N$4,MATCH(D61,Listas!$M$2:$M$4,0)),"")</f>
        <v/>
      </c>
      <c r="L61" t="str">
        <f t="shared" si="2"/>
        <v/>
      </c>
      <c r="M61" t="str">
        <f t="shared" si="3"/>
        <v/>
      </c>
    </row>
  </sheetData>
  <autoFilter ref="A1:F1"/>
  <conditionalFormatting sqref="A3:A61">
    <cfRule type="expression" dxfId="51" priority="2">
      <formula>AND($A3="",COUNTA($A3:$F3)&gt;0)</formula>
    </cfRule>
  </conditionalFormatting>
  <conditionalFormatting sqref="B3:B61">
    <cfRule type="expression" dxfId="50" priority="3">
      <formula>AND($B3="",COUNTA($A3:$F3)&gt;0)</formula>
    </cfRule>
  </conditionalFormatting>
  <conditionalFormatting sqref="C3:C61">
    <cfRule type="expression" dxfId="49" priority="4">
      <formula>AND($C3="",COUNTA($A3:$F3)&gt;0)</formula>
    </cfRule>
  </conditionalFormatting>
  <conditionalFormatting sqref="D3:D61">
    <cfRule type="expression" dxfId="48" priority="5">
      <formula>AND($D3="",COUNTA($A3:$F3)&gt;0)</formula>
    </cfRule>
  </conditionalFormatting>
  <dataValidations count="1">
    <dataValidation type="decimal" operator="greaterThanOrEqual" allowBlank="1" error="Informe um número" sqref="E2:F61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>
          <x14:formula1>
            <xm:f>'2.1 Cursos'!$A$2:$A$61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'2.4 Curriculos'!$B$2:$B$61</xm:f>
          </x14:formula1>
          <x14:formula2>
            <xm:f>0</xm:f>
          </x14:formula2>
          <xm:sqref>B2:B61</xm:sqref>
        </x14:dataValidation>
        <x14:dataValidation type="list" allowBlank="1">
          <x14:formula1>
            <xm:f>'2.2 Disciplinas'!$A$2:$A$61</xm:f>
          </x14:formula1>
          <x14:formula2>
            <xm:f>0</xm:f>
          </x14:formula2>
          <xm:sqref>C2:C61</xm:sqref>
        </x14:dataValidation>
        <x14:dataValidation type="list" allowBlank="1">
          <x14:formula1>
            <xm:f>Listas!$M$2:$M$4</xm:f>
          </x14:formula1>
          <x14:formula2>
            <xm:f>0</xm:f>
          </x14:formula2>
          <xm:sqref>D2:D61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5623"/>
  </sheetPr>
  <dimension ref="A1:AG61"/>
  <sheetViews>
    <sheetView topLeftCell="G1"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18" customWidth="1"/>
    <col min="2" max="2" width="32" customWidth="1"/>
    <col min="3" max="3" width="28" customWidth="1"/>
    <col min="4" max="4" width="26" customWidth="1"/>
    <col min="5" max="6" width="16" customWidth="1"/>
    <col min="7" max="8" width="14" customWidth="1"/>
    <col min="9" max="9" width="16" customWidth="1"/>
    <col min="10" max="10" width="10" customWidth="1"/>
    <col min="11" max="11" width="14" customWidth="1"/>
    <col min="12" max="12" width="26" customWidth="1"/>
    <col min="13" max="13" width="18" customWidth="1"/>
    <col min="14" max="16" width="16" customWidth="1"/>
    <col min="18" max="33" width="16" hidden="1" customWidth="1"/>
  </cols>
  <sheetData>
    <row r="1" spans="1:33" ht="31.5" customHeight="1" x14ac:dyDescent="0.35">
      <c r="A1" s="12" t="s">
        <v>162</v>
      </c>
      <c r="B1" s="12" t="s">
        <v>152</v>
      </c>
      <c r="C1" s="12" t="s">
        <v>151</v>
      </c>
      <c r="D1" s="12" t="s">
        <v>144</v>
      </c>
      <c r="E1" s="12" t="s">
        <v>163</v>
      </c>
      <c r="F1" s="12" t="s">
        <v>164</v>
      </c>
      <c r="G1" s="12" t="s">
        <v>134</v>
      </c>
      <c r="H1" s="12" t="s">
        <v>135</v>
      </c>
      <c r="I1" s="12" t="s">
        <v>32</v>
      </c>
      <c r="J1" s="12" t="s">
        <v>88</v>
      </c>
      <c r="K1" s="12" t="s">
        <v>165</v>
      </c>
      <c r="L1" s="12" t="s">
        <v>166</v>
      </c>
      <c r="M1" s="12" t="s">
        <v>167</v>
      </c>
      <c r="N1" s="12" t="s">
        <v>28</v>
      </c>
      <c r="O1" s="12" t="s">
        <v>30</v>
      </c>
      <c r="P1" s="12" t="s">
        <v>168</v>
      </c>
      <c r="R1" s="10" t="s">
        <v>169</v>
      </c>
      <c r="S1" s="10" t="s">
        <v>157</v>
      </c>
      <c r="T1" s="10" t="s">
        <v>156</v>
      </c>
      <c r="U1" s="10" t="s">
        <v>148</v>
      </c>
      <c r="V1" s="10" t="s">
        <v>170</v>
      </c>
      <c r="W1" s="10" t="s">
        <v>171</v>
      </c>
      <c r="X1" s="10" t="s">
        <v>138</v>
      </c>
      <c r="Y1" s="10" t="s">
        <v>139</v>
      </c>
      <c r="Z1" s="10" t="s">
        <v>35</v>
      </c>
      <c r="AA1" s="10" t="s">
        <v>46</v>
      </c>
      <c r="AB1" s="10" t="s">
        <v>172</v>
      </c>
      <c r="AC1" s="10" t="s">
        <v>173</v>
      </c>
      <c r="AD1" s="10" t="s">
        <v>174</v>
      </c>
      <c r="AE1" s="10" t="s">
        <v>175</v>
      </c>
      <c r="AF1" s="10" t="s">
        <v>176</v>
      </c>
      <c r="AG1" s="10" t="s">
        <v>177</v>
      </c>
    </row>
    <row r="2" spans="1:33" x14ac:dyDescent="0.35">
      <c r="A2" s="11" t="s">
        <v>70</v>
      </c>
      <c r="B2" s="11" t="s">
        <v>131</v>
      </c>
      <c r="C2" s="11" t="s">
        <v>149</v>
      </c>
      <c r="D2" s="11" t="s">
        <v>124</v>
      </c>
      <c r="E2" s="11" t="s">
        <v>140</v>
      </c>
      <c r="F2" s="11" t="s">
        <v>50</v>
      </c>
      <c r="G2" s="14" t="s">
        <v>142</v>
      </c>
      <c r="H2" s="14" t="s">
        <v>143</v>
      </c>
      <c r="I2" s="11" t="s">
        <v>178</v>
      </c>
      <c r="J2" s="11" t="s">
        <v>49</v>
      </c>
      <c r="K2" s="11" t="s">
        <v>29</v>
      </c>
      <c r="L2" s="11"/>
      <c r="M2" s="11" t="s">
        <v>179</v>
      </c>
      <c r="N2" s="11"/>
      <c r="O2" s="11"/>
      <c r="P2" s="11" t="s">
        <v>29</v>
      </c>
      <c r="R2" t="str">
        <f>IFERROR(INDEX('1.11 Turmas'!$B$2:$B$61,MATCH(A2,'1.11 Turmas'!$A$2:$A$61,0)),"")</f>
        <v>TURMA-001</v>
      </c>
      <c r="S2" t="str">
        <f>IFERROR(INDEX('2.2 Disciplinas'!$B$2:$B$61,MATCH(B2,'2.2 Disciplinas'!$A$2:$A$61,0)),"")</f>
        <v>DISC-001</v>
      </c>
      <c r="T2" t="str">
        <f>IFERROR(INDEX('2.4 Curriculos'!$C$2:$C$61,MATCH(C2,'2.4 Curriculos'!$B$2:$B$61,0)),"")</f>
        <v>CR-001</v>
      </c>
      <c r="U2" t="str">
        <f>IFERROR(INDEX('2.1 Cursos'!$B$2:$B$61,MATCH(D2,'2.1 Cursos'!$A$2:$A$61,0)),"")</f>
        <v>CUR-001</v>
      </c>
      <c r="V2" t="str">
        <f>IFERROR(INDEX('2.3 Periodos'!$B$2:$B$61,MATCH(E2,'2.3 Periodos'!$A$2:$A$61,0)),"")</f>
        <v>PER-001</v>
      </c>
      <c r="W2" t="str">
        <f>IFERROR(INDEX('1.4 Turnos'!$B$2:$B$61,MATCH(F2,'1.4 Turnos'!$A$2:$A$61,0)),"")</f>
        <v>TUR-001</v>
      </c>
      <c r="X2" t="str">
        <f t="shared" ref="X2:X33" si="0">IF(G2="","",TEXT(G2,"yyyy-mm-dd"))</f>
        <v>yyyy-01-01</v>
      </c>
      <c r="Y2" t="str">
        <f t="shared" ref="Y2:Y33" si="1">IF(H2="","",TEXT(H2,"yyyy-mm-dd"))</f>
        <v>yyyy-06-30</v>
      </c>
      <c r="Z2" t="str">
        <f t="shared" ref="Z2:Z33" si="2">IF(I2="","",I2)</f>
        <v>TURDISC-001</v>
      </c>
      <c r="AA2" t="str">
        <f t="shared" ref="AA2:AA33" si="3">IF(J2="Sim","true",IF(J2="Não","false",""))</f>
        <v>true</v>
      </c>
      <c r="AB2" t="str">
        <f t="shared" ref="AB2:AB33" si="4">IF(K2="Sim","true",IF(K2="Não","false",""))</f>
        <v>false</v>
      </c>
      <c r="AC2" t="str">
        <f t="shared" ref="AC2:AC33" si="5">IF(L2="","",L2)</f>
        <v/>
      </c>
      <c r="AD2" t="str">
        <f>IFERROR(INDEX(Listas!$Z$2:$Z$3,MATCH(M2,Listas!$Y$2:$Y$3,0)),"")</f>
        <v>master</v>
      </c>
      <c r="AE2" t="str">
        <f t="shared" ref="AE2:AE33" si="6">IF(N2="Sim","true",IF(N2="Não","false",""))</f>
        <v/>
      </c>
      <c r="AF2" t="str">
        <f t="shared" ref="AF2:AF33" si="7">IF(O2="Sim","true",IF(O2="Não","false",""))</f>
        <v/>
      </c>
      <c r="AG2" t="str">
        <f t="shared" ref="AG2:AG33" si="8">IF(P2="Sim","true",IF(P2="Não","false",""))</f>
        <v>false</v>
      </c>
    </row>
    <row r="3" spans="1:33" x14ac:dyDescent="0.35">
      <c r="G3" s="15"/>
      <c r="H3" s="15"/>
      <c r="R3" t="str">
        <f>IFERROR(INDEX('1.11 Turmas'!$B$2:$B$61,MATCH(A3,'1.11 Turmas'!$A$2:$A$61,0)),"")</f>
        <v/>
      </c>
      <c r="S3" t="str">
        <f>IFERROR(INDEX('2.2 Disciplinas'!$B$2:$B$61,MATCH(B3,'2.2 Disciplinas'!$A$2:$A$61,0)),"")</f>
        <v/>
      </c>
      <c r="T3" t="str">
        <f>IFERROR(INDEX('2.4 Curriculos'!$C$2:$C$61,MATCH(C3,'2.4 Curriculos'!$B$2:$B$61,0)),"")</f>
        <v/>
      </c>
      <c r="U3" t="str">
        <f>IFERROR(INDEX('2.1 Cursos'!$B$2:$B$61,MATCH(D3,'2.1 Cursos'!$A$2:$A$61,0)),"")</f>
        <v/>
      </c>
      <c r="V3" t="str">
        <f>IFERROR(INDEX('2.3 Periodos'!$B$2:$B$61,MATCH(E3,'2.3 Periodos'!$A$2:$A$61,0)),"")</f>
        <v/>
      </c>
      <c r="W3" t="str">
        <f>IFERROR(INDEX('1.4 Turnos'!$B$2:$B$61,MATCH(F3,'1.4 Turnos'!$A$2:$A$61,0)),"")</f>
        <v/>
      </c>
      <c r="X3" t="str">
        <f t="shared" si="0"/>
        <v/>
      </c>
      <c r="Y3" t="str">
        <f t="shared" si="1"/>
        <v/>
      </c>
      <c r="Z3" t="str">
        <f t="shared" si="2"/>
        <v/>
      </c>
      <c r="AA3" t="str">
        <f t="shared" si="3"/>
        <v/>
      </c>
      <c r="AB3" t="str">
        <f t="shared" si="4"/>
        <v/>
      </c>
      <c r="AC3" t="str">
        <f t="shared" si="5"/>
        <v/>
      </c>
      <c r="AD3" t="str">
        <f>IFERROR(INDEX(Listas!$Z$2:$Z$3,MATCH(M3,Listas!$Y$2:$Y$3,0)),"")</f>
        <v/>
      </c>
      <c r="AE3" t="str">
        <f t="shared" si="6"/>
        <v/>
      </c>
      <c r="AF3" t="str">
        <f t="shared" si="7"/>
        <v/>
      </c>
      <c r="AG3" t="str">
        <f t="shared" si="8"/>
        <v/>
      </c>
    </row>
    <row r="4" spans="1:33" x14ac:dyDescent="0.35">
      <c r="G4" s="15"/>
      <c r="H4" s="15"/>
      <c r="R4" t="str">
        <f>IFERROR(INDEX('1.11 Turmas'!$B$2:$B$61,MATCH(A4,'1.11 Turmas'!$A$2:$A$61,0)),"")</f>
        <v/>
      </c>
      <c r="S4" t="str">
        <f>IFERROR(INDEX('2.2 Disciplinas'!$B$2:$B$61,MATCH(B4,'2.2 Disciplinas'!$A$2:$A$61,0)),"")</f>
        <v/>
      </c>
      <c r="T4" t="str">
        <f>IFERROR(INDEX('2.4 Curriculos'!$C$2:$C$61,MATCH(C4,'2.4 Curriculos'!$B$2:$B$61,0)),"")</f>
        <v/>
      </c>
      <c r="U4" t="str">
        <f>IFERROR(INDEX('2.1 Cursos'!$B$2:$B$61,MATCH(D4,'2.1 Cursos'!$A$2:$A$61,0)),"")</f>
        <v/>
      </c>
      <c r="V4" t="str">
        <f>IFERROR(INDEX('2.3 Periodos'!$B$2:$B$61,MATCH(E4,'2.3 Periodos'!$A$2:$A$61,0)),"")</f>
        <v/>
      </c>
      <c r="W4" t="str">
        <f>IFERROR(INDEX('1.4 Turnos'!$B$2:$B$61,MATCH(F4,'1.4 Turnos'!$A$2:$A$61,0)),"")</f>
        <v/>
      </c>
      <c r="X4" t="str">
        <f t="shared" si="0"/>
        <v/>
      </c>
      <c r="Y4" t="str">
        <f t="shared" si="1"/>
        <v/>
      </c>
      <c r="Z4" t="str">
        <f t="shared" si="2"/>
        <v/>
      </c>
      <c r="AA4" t="str">
        <f t="shared" si="3"/>
        <v/>
      </c>
      <c r="AB4" t="str">
        <f t="shared" si="4"/>
        <v/>
      </c>
      <c r="AC4" t="str">
        <f t="shared" si="5"/>
        <v/>
      </c>
      <c r="AD4" t="str">
        <f>IFERROR(INDEX(Listas!$Z$2:$Z$3,MATCH(M4,Listas!$Y$2:$Y$3,0)),"")</f>
        <v/>
      </c>
      <c r="AE4" t="str">
        <f t="shared" si="6"/>
        <v/>
      </c>
      <c r="AF4" t="str">
        <f t="shared" si="7"/>
        <v/>
      </c>
      <c r="AG4" t="str">
        <f t="shared" si="8"/>
        <v/>
      </c>
    </row>
    <row r="5" spans="1:33" x14ac:dyDescent="0.35">
      <c r="G5" s="15"/>
      <c r="H5" s="15"/>
      <c r="R5" t="str">
        <f>IFERROR(INDEX('1.11 Turmas'!$B$2:$B$61,MATCH(A5,'1.11 Turmas'!$A$2:$A$61,0)),"")</f>
        <v/>
      </c>
      <c r="S5" t="str">
        <f>IFERROR(INDEX('2.2 Disciplinas'!$B$2:$B$61,MATCH(B5,'2.2 Disciplinas'!$A$2:$A$61,0)),"")</f>
        <v/>
      </c>
      <c r="T5" t="str">
        <f>IFERROR(INDEX('2.4 Curriculos'!$C$2:$C$61,MATCH(C5,'2.4 Curriculos'!$B$2:$B$61,0)),"")</f>
        <v/>
      </c>
      <c r="U5" t="str">
        <f>IFERROR(INDEX('2.1 Cursos'!$B$2:$B$61,MATCH(D5,'2.1 Cursos'!$A$2:$A$61,0)),"")</f>
        <v/>
      </c>
      <c r="V5" t="str">
        <f>IFERROR(INDEX('2.3 Periodos'!$B$2:$B$61,MATCH(E5,'2.3 Periodos'!$A$2:$A$61,0)),"")</f>
        <v/>
      </c>
      <c r="W5" t="str">
        <f>IFERROR(INDEX('1.4 Turnos'!$B$2:$B$61,MATCH(F5,'1.4 Turnos'!$A$2:$A$61,0)),"")</f>
        <v/>
      </c>
      <c r="X5" t="str">
        <f t="shared" si="0"/>
        <v/>
      </c>
      <c r="Y5" t="str">
        <f t="shared" si="1"/>
        <v/>
      </c>
      <c r="Z5" t="str">
        <f t="shared" si="2"/>
        <v/>
      </c>
      <c r="AA5" t="str">
        <f t="shared" si="3"/>
        <v/>
      </c>
      <c r="AB5" t="str">
        <f t="shared" si="4"/>
        <v/>
      </c>
      <c r="AC5" t="str">
        <f t="shared" si="5"/>
        <v/>
      </c>
      <c r="AD5" t="str">
        <f>IFERROR(INDEX(Listas!$Z$2:$Z$3,MATCH(M5,Listas!$Y$2:$Y$3,0)),"")</f>
        <v/>
      </c>
      <c r="AE5" t="str">
        <f t="shared" si="6"/>
        <v/>
      </c>
      <c r="AF5" t="str">
        <f t="shared" si="7"/>
        <v/>
      </c>
      <c r="AG5" t="str">
        <f t="shared" si="8"/>
        <v/>
      </c>
    </row>
    <row r="6" spans="1:33" x14ac:dyDescent="0.35">
      <c r="G6" s="15"/>
      <c r="H6" s="15"/>
      <c r="R6" t="str">
        <f>IFERROR(INDEX('1.11 Turmas'!$B$2:$B$61,MATCH(A6,'1.11 Turmas'!$A$2:$A$61,0)),"")</f>
        <v/>
      </c>
      <c r="S6" t="str">
        <f>IFERROR(INDEX('2.2 Disciplinas'!$B$2:$B$61,MATCH(B6,'2.2 Disciplinas'!$A$2:$A$61,0)),"")</f>
        <v/>
      </c>
      <c r="T6" t="str">
        <f>IFERROR(INDEX('2.4 Curriculos'!$C$2:$C$61,MATCH(C6,'2.4 Curriculos'!$B$2:$B$61,0)),"")</f>
        <v/>
      </c>
      <c r="U6" t="str">
        <f>IFERROR(INDEX('2.1 Cursos'!$B$2:$B$61,MATCH(D6,'2.1 Cursos'!$A$2:$A$61,0)),"")</f>
        <v/>
      </c>
      <c r="V6" t="str">
        <f>IFERROR(INDEX('2.3 Periodos'!$B$2:$B$61,MATCH(E6,'2.3 Periodos'!$A$2:$A$61,0)),"")</f>
        <v/>
      </c>
      <c r="W6" t="str">
        <f>IFERROR(INDEX('1.4 Turnos'!$B$2:$B$61,MATCH(F6,'1.4 Turnos'!$A$2:$A$61,0)),"")</f>
        <v/>
      </c>
      <c r="X6" t="str">
        <f t="shared" si="0"/>
        <v/>
      </c>
      <c r="Y6" t="str">
        <f t="shared" si="1"/>
        <v/>
      </c>
      <c r="Z6" t="str">
        <f t="shared" si="2"/>
        <v/>
      </c>
      <c r="AA6" t="str">
        <f t="shared" si="3"/>
        <v/>
      </c>
      <c r="AB6" t="str">
        <f t="shared" si="4"/>
        <v/>
      </c>
      <c r="AC6" t="str">
        <f t="shared" si="5"/>
        <v/>
      </c>
      <c r="AD6" t="str">
        <f>IFERROR(INDEX(Listas!$Z$2:$Z$3,MATCH(M6,Listas!$Y$2:$Y$3,0)),"")</f>
        <v/>
      </c>
      <c r="AE6" t="str">
        <f t="shared" si="6"/>
        <v/>
      </c>
      <c r="AF6" t="str">
        <f t="shared" si="7"/>
        <v/>
      </c>
      <c r="AG6" t="str">
        <f t="shared" si="8"/>
        <v/>
      </c>
    </row>
    <row r="7" spans="1:33" x14ac:dyDescent="0.35">
      <c r="G7" s="15"/>
      <c r="H7" s="15"/>
      <c r="R7" t="str">
        <f>IFERROR(INDEX('1.11 Turmas'!$B$2:$B$61,MATCH(A7,'1.11 Turmas'!$A$2:$A$61,0)),"")</f>
        <v/>
      </c>
      <c r="S7" t="str">
        <f>IFERROR(INDEX('2.2 Disciplinas'!$B$2:$B$61,MATCH(B7,'2.2 Disciplinas'!$A$2:$A$61,0)),"")</f>
        <v/>
      </c>
      <c r="T7" t="str">
        <f>IFERROR(INDEX('2.4 Curriculos'!$C$2:$C$61,MATCH(C7,'2.4 Curriculos'!$B$2:$B$61,0)),"")</f>
        <v/>
      </c>
      <c r="U7" t="str">
        <f>IFERROR(INDEX('2.1 Cursos'!$B$2:$B$61,MATCH(D7,'2.1 Cursos'!$A$2:$A$61,0)),"")</f>
        <v/>
      </c>
      <c r="V7" t="str">
        <f>IFERROR(INDEX('2.3 Periodos'!$B$2:$B$61,MATCH(E7,'2.3 Periodos'!$A$2:$A$61,0)),"")</f>
        <v/>
      </c>
      <c r="W7" t="str">
        <f>IFERROR(INDEX('1.4 Turnos'!$B$2:$B$61,MATCH(F7,'1.4 Turnos'!$A$2:$A$61,0)),"")</f>
        <v/>
      </c>
      <c r="X7" t="str">
        <f t="shared" si="0"/>
        <v/>
      </c>
      <c r="Y7" t="str">
        <f t="shared" si="1"/>
        <v/>
      </c>
      <c r="Z7" t="str">
        <f t="shared" si="2"/>
        <v/>
      </c>
      <c r="AA7" t="str">
        <f t="shared" si="3"/>
        <v/>
      </c>
      <c r="AB7" t="str">
        <f t="shared" si="4"/>
        <v/>
      </c>
      <c r="AC7" t="str">
        <f t="shared" si="5"/>
        <v/>
      </c>
      <c r="AD7" t="str">
        <f>IFERROR(INDEX(Listas!$Z$2:$Z$3,MATCH(M7,Listas!$Y$2:$Y$3,0)),"")</f>
        <v/>
      </c>
      <c r="AE7" t="str">
        <f t="shared" si="6"/>
        <v/>
      </c>
      <c r="AF7" t="str">
        <f t="shared" si="7"/>
        <v/>
      </c>
      <c r="AG7" t="str">
        <f t="shared" si="8"/>
        <v/>
      </c>
    </row>
    <row r="8" spans="1:33" x14ac:dyDescent="0.35">
      <c r="G8" s="15"/>
      <c r="H8" s="15"/>
      <c r="R8" t="str">
        <f>IFERROR(INDEX('1.11 Turmas'!$B$2:$B$61,MATCH(A8,'1.11 Turmas'!$A$2:$A$61,0)),"")</f>
        <v/>
      </c>
      <c r="S8" t="str">
        <f>IFERROR(INDEX('2.2 Disciplinas'!$B$2:$B$61,MATCH(B8,'2.2 Disciplinas'!$A$2:$A$61,0)),"")</f>
        <v/>
      </c>
      <c r="T8" t="str">
        <f>IFERROR(INDEX('2.4 Curriculos'!$C$2:$C$61,MATCH(C8,'2.4 Curriculos'!$B$2:$B$61,0)),"")</f>
        <v/>
      </c>
      <c r="U8" t="str">
        <f>IFERROR(INDEX('2.1 Cursos'!$B$2:$B$61,MATCH(D8,'2.1 Cursos'!$A$2:$A$61,0)),"")</f>
        <v/>
      </c>
      <c r="V8" t="str">
        <f>IFERROR(INDEX('2.3 Periodos'!$B$2:$B$61,MATCH(E8,'2.3 Periodos'!$A$2:$A$61,0)),"")</f>
        <v/>
      </c>
      <c r="W8" t="str">
        <f>IFERROR(INDEX('1.4 Turnos'!$B$2:$B$61,MATCH(F8,'1.4 Turnos'!$A$2:$A$61,0)),"")</f>
        <v/>
      </c>
      <c r="X8" t="str">
        <f t="shared" si="0"/>
        <v/>
      </c>
      <c r="Y8" t="str">
        <f t="shared" si="1"/>
        <v/>
      </c>
      <c r="Z8" t="str">
        <f t="shared" si="2"/>
        <v/>
      </c>
      <c r="AA8" t="str">
        <f t="shared" si="3"/>
        <v/>
      </c>
      <c r="AB8" t="str">
        <f t="shared" si="4"/>
        <v/>
      </c>
      <c r="AC8" t="str">
        <f t="shared" si="5"/>
        <v/>
      </c>
      <c r="AD8" t="str">
        <f>IFERROR(INDEX(Listas!$Z$2:$Z$3,MATCH(M8,Listas!$Y$2:$Y$3,0)),"")</f>
        <v/>
      </c>
      <c r="AE8" t="str">
        <f t="shared" si="6"/>
        <v/>
      </c>
      <c r="AF8" t="str">
        <f t="shared" si="7"/>
        <v/>
      </c>
      <c r="AG8" t="str">
        <f t="shared" si="8"/>
        <v/>
      </c>
    </row>
    <row r="9" spans="1:33" x14ac:dyDescent="0.35">
      <c r="G9" s="15"/>
      <c r="H9" s="15"/>
      <c r="R9" t="str">
        <f>IFERROR(INDEX('1.11 Turmas'!$B$2:$B$61,MATCH(A9,'1.11 Turmas'!$A$2:$A$61,0)),"")</f>
        <v/>
      </c>
      <c r="S9" t="str">
        <f>IFERROR(INDEX('2.2 Disciplinas'!$B$2:$B$61,MATCH(B9,'2.2 Disciplinas'!$A$2:$A$61,0)),"")</f>
        <v/>
      </c>
      <c r="T9" t="str">
        <f>IFERROR(INDEX('2.4 Curriculos'!$C$2:$C$61,MATCH(C9,'2.4 Curriculos'!$B$2:$B$61,0)),"")</f>
        <v/>
      </c>
      <c r="U9" t="str">
        <f>IFERROR(INDEX('2.1 Cursos'!$B$2:$B$61,MATCH(D9,'2.1 Cursos'!$A$2:$A$61,0)),"")</f>
        <v/>
      </c>
      <c r="V9" t="str">
        <f>IFERROR(INDEX('2.3 Periodos'!$B$2:$B$61,MATCH(E9,'2.3 Periodos'!$A$2:$A$61,0)),"")</f>
        <v/>
      </c>
      <c r="W9" t="str">
        <f>IFERROR(INDEX('1.4 Turnos'!$B$2:$B$61,MATCH(F9,'1.4 Turnos'!$A$2:$A$61,0)),"")</f>
        <v/>
      </c>
      <c r="X9" t="str">
        <f t="shared" si="0"/>
        <v/>
      </c>
      <c r="Y9" t="str">
        <f t="shared" si="1"/>
        <v/>
      </c>
      <c r="Z9" t="str">
        <f t="shared" si="2"/>
        <v/>
      </c>
      <c r="AA9" t="str">
        <f t="shared" si="3"/>
        <v/>
      </c>
      <c r="AB9" t="str">
        <f t="shared" si="4"/>
        <v/>
      </c>
      <c r="AC9" t="str">
        <f t="shared" si="5"/>
        <v/>
      </c>
      <c r="AD9" t="str">
        <f>IFERROR(INDEX(Listas!$Z$2:$Z$3,MATCH(M9,Listas!$Y$2:$Y$3,0)),"")</f>
        <v/>
      </c>
      <c r="AE9" t="str">
        <f t="shared" si="6"/>
        <v/>
      </c>
      <c r="AF9" t="str">
        <f t="shared" si="7"/>
        <v/>
      </c>
      <c r="AG9" t="str">
        <f t="shared" si="8"/>
        <v/>
      </c>
    </row>
    <row r="10" spans="1:33" x14ac:dyDescent="0.35">
      <c r="G10" s="15"/>
      <c r="H10" s="15"/>
      <c r="R10" t="str">
        <f>IFERROR(INDEX('1.11 Turmas'!$B$2:$B$61,MATCH(A10,'1.11 Turmas'!$A$2:$A$61,0)),"")</f>
        <v/>
      </c>
      <c r="S10" t="str">
        <f>IFERROR(INDEX('2.2 Disciplinas'!$B$2:$B$61,MATCH(B10,'2.2 Disciplinas'!$A$2:$A$61,0)),"")</f>
        <v/>
      </c>
      <c r="T10" t="str">
        <f>IFERROR(INDEX('2.4 Curriculos'!$C$2:$C$61,MATCH(C10,'2.4 Curriculos'!$B$2:$B$61,0)),"")</f>
        <v/>
      </c>
      <c r="U10" t="str">
        <f>IFERROR(INDEX('2.1 Cursos'!$B$2:$B$61,MATCH(D10,'2.1 Cursos'!$A$2:$A$61,0)),"")</f>
        <v/>
      </c>
      <c r="V10" t="str">
        <f>IFERROR(INDEX('2.3 Periodos'!$B$2:$B$61,MATCH(E10,'2.3 Periodos'!$A$2:$A$61,0)),"")</f>
        <v/>
      </c>
      <c r="W10" t="str">
        <f>IFERROR(INDEX('1.4 Turnos'!$B$2:$B$61,MATCH(F10,'1.4 Turnos'!$A$2:$A$61,0)),"")</f>
        <v/>
      </c>
      <c r="X10" t="str">
        <f t="shared" si="0"/>
        <v/>
      </c>
      <c r="Y10" t="str">
        <f t="shared" si="1"/>
        <v/>
      </c>
      <c r="Z10" t="str">
        <f t="shared" si="2"/>
        <v/>
      </c>
      <c r="AA10" t="str">
        <f t="shared" si="3"/>
        <v/>
      </c>
      <c r="AB10" t="str">
        <f t="shared" si="4"/>
        <v/>
      </c>
      <c r="AC10" t="str">
        <f t="shared" si="5"/>
        <v/>
      </c>
      <c r="AD10" t="str">
        <f>IFERROR(INDEX(Listas!$Z$2:$Z$3,MATCH(M10,Listas!$Y$2:$Y$3,0)),"")</f>
        <v/>
      </c>
      <c r="AE10" t="str">
        <f t="shared" si="6"/>
        <v/>
      </c>
      <c r="AF10" t="str">
        <f t="shared" si="7"/>
        <v/>
      </c>
      <c r="AG10" t="str">
        <f t="shared" si="8"/>
        <v/>
      </c>
    </row>
    <row r="11" spans="1:33" x14ac:dyDescent="0.35">
      <c r="G11" s="15"/>
      <c r="H11" s="15"/>
      <c r="R11" t="str">
        <f>IFERROR(INDEX('1.11 Turmas'!$B$2:$B$61,MATCH(A11,'1.11 Turmas'!$A$2:$A$61,0)),"")</f>
        <v/>
      </c>
      <c r="S11" t="str">
        <f>IFERROR(INDEX('2.2 Disciplinas'!$B$2:$B$61,MATCH(B11,'2.2 Disciplinas'!$A$2:$A$61,0)),"")</f>
        <v/>
      </c>
      <c r="T11" t="str">
        <f>IFERROR(INDEX('2.4 Curriculos'!$C$2:$C$61,MATCH(C11,'2.4 Curriculos'!$B$2:$B$61,0)),"")</f>
        <v/>
      </c>
      <c r="U11" t="str">
        <f>IFERROR(INDEX('2.1 Cursos'!$B$2:$B$61,MATCH(D11,'2.1 Cursos'!$A$2:$A$61,0)),"")</f>
        <v/>
      </c>
      <c r="V11" t="str">
        <f>IFERROR(INDEX('2.3 Periodos'!$B$2:$B$61,MATCH(E11,'2.3 Periodos'!$A$2:$A$61,0)),"")</f>
        <v/>
      </c>
      <c r="W11" t="str">
        <f>IFERROR(INDEX('1.4 Turnos'!$B$2:$B$61,MATCH(F11,'1.4 Turnos'!$A$2:$A$61,0)),"")</f>
        <v/>
      </c>
      <c r="X11" t="str">
        <f t="shared" si="0"/>
        <v/>
      </c>
      <c r="Y11" t="str">
        <f t="shared" si="1"/>
        <v/>
      </c>
      <c r="Z11" t="str">
        <f t="shared" si="2"/>
        <v/>
      </c>
      <c r="AA11" t="str">
        <f t="shared" si="3"/>
        <v/>
      </c>
      <c r="AB11" t="str">
        <f t="shared" si="4"/>
        <v/>
      </c>
      <c r="AC11" t="str">
        <f t="shared" si="5"/>
        <v/>
      </c>
      <c r="AD11" t="str">
        <f>IFERROR(INDEX(Listas!$Z$2:$Z$3,MATCH(M11,Listas!$Y$2:$Y$3,0)),"")</f>
        <v/>
      </c>
      <c r="AE11" t="str">
        <f t="shared" si="6"/>
        <v/>
      </c>
      <c r="AF11" t="str">
        <f t="shared" si="7"/>
        <v/>
      </c>
      <c r="AG11" t="str">
        <f t="shared" si="8"/>
        <v/>
      </c>
    </row>
    <row r="12" spans="1:33" x14ac:dyDescent="0.35">
      <c r="G12" s="15"/>
      <c r="H12" s="15"/>
      <c r="R12" t="str">
        <f>IFERROR(INDEX('1.11 Turmas'!$B$2:$B$61,MATCH(A12,'1.11 Turmas'!$A$2:$A$61,0)),"")</f>
        <v/>
      </c>
      <c r="S12" t="str">
        <f>IFERROR(INDEX('2.2 Disciplinas'!$B$2:$B$61,MATCH(B12,'2.2 Disciplinas'!$A$2:$A$61,0)),"")</f>
        <v/>
      </c>
      <c r="T12" t="str">
        <f>IFERROR(INDEX('2.4 Curriculos'!$C$2:$C$61,MATCH(C12,'2.4 Curriculos'!$B$2:$B$61,0)),"")</f>
        <v/>
      </c>
      <c r="U12" t="str">
        <f>IFERROR(INDEX('2.1 Cursos'!$B$2:$B$61,MATCH(D12,'2.1 Cursos'!$A$2:$A$61,0)),"")</f>
        <v/>
      </c>
      <c r="V12" t="str">
        <f>IFERROR(INDEX('2.3 Periodos'!$B$2:$B$61,MATCH(E12,'2.3 Periodos'!$A$2:$A$61,0)),"")</f>
        <v/>
      </c>
      <c r="W12" t="str">
        <f>IFERROR(INDEX('1.4 Turnos'!$B$2:$B$61,MATCH(F12,'1.4 Turnos'!$A$2:$A$61,0)),"")</f>
        <v/>
      </c>
      <c r="X12" t="str">
        <f t="shared" si="0"/>
        <v/>
      </c>
      <c r="Y12" t="str">
        <f t="shared" si="1"/>
        <v/>
      </c>
      <c r="Z12" t="str">
        <f t="shared" si="2"/>
        <v/>
      </c>
      <c r="AA12" t="str">
        <f t="shared" si="3"/>
        <v/>
      </c>
      <c r="AB12" t="str">
        <f t="shared" si="4"/>
        <v/>
      </c>
      <c r="AC12" t="str">
        <f t="shared" si="5"/>
        <v/>
      </c>
      <c r="AD12" t="str">
        <f>IFERROR(INDEX(Listas!$Z$2:$Z$3,MATCH(M12,Listas!$Y$2:$Y$3,0)),"")</f>
        <v/>
      </c>
      <c r="AE12" t="str">
        <f t="shared" si="6"/>
        <v/>
      </c>
      <c r="AF12" t="str">
        <f t="shared" si="7"/>
        <v/>
      </c>
      <c r="AG12" t="str">
        <f t="shared" si="8"/>
        <v/>
      </c>
    </row>
    <row r="13" spans="1:33" x14ac:dyDescent="0.35">
      <c r="G13" s="15"/>
      <c r="H13" s="15"/>
      <c r="R13" t="str">
        <f>IFERROR(INDEX('1.11 Turmas'!$B$2:$B$61,MATCH(A13,'1.11 Turmas'!$A$2:$A$61,0)),"")</f>
        <v/>
      </c>
      <c r="S13" t="str">
        <f>IFERROR(INDEX('2.2 Disciplinas'!$B$2:$B$61,MATCH(B13,'2.2 Disciplinas'!$A$2:$A$61,0)),"")</f>
        <v/>
      </c>
      <c r="T13" t="str">
        <f>IFERROR(INDEX('2.4 Curriculos'!$C$2:$C$61,MATCH(C13,'2.4 Curriculos'!$B$2:$B$61,0)),"")</f>
        <v/>
      </c>
      <c r="U13" t="str">
        <f>IFERROR(INDEX('2.1 Cursos'!$B$2:$B$61,MATCH(D13,'2.1 Cursos'!$A$2:$A$61,0)),"")</f>
        <v/>
      </c>
      <c r="V13" t="str">
        <f>IFERROR(INDEX('2.3 Periodos'!$B$2:$B$61,MATCH(E13,'2.3 Periodos'!$A$2:$A$61,0)),"")</f>
        <v/>
      </c>
      <c r="W13" t="str">
        <f>IFERROR(INDEX('1.4 Turnos'!$B$2:$B$61,MATCH(F13,'1.4 Turnos'!$A$2:$A$61,0)),"")</f>
        <v/>
      </c>
      <c r="X13" t="str">
        <f t="shared" si="0"/>
        <v/>
      </c>
      <c r="Y13" t="str">
        <f t="shared" si="1"/>
        <v/>
      </c>
      <c r="Z13" t="str">
        <f t="shared" si="2"/>
        <v/>
      </c>
      <c r="AA13" t="str">
        <f t="shared" si="3"/>
        <v/>
      </c>
      <c r="AB13" t="str">
        <f t="shared" si="4"/>
        <v/>
      </c>
      <c r="AC13" t="str">
        <f t="shared" si="5"/>
        <v/>
      </c>
      <c r="AD13" t="str">
        <f>IFERROR(INDEX(Listas!$Z$2:$Z$3,MATCH(M13,Listas!$Y$2:$Y$3,0)),"")</f>
        <v/>
      </c>
      <c r="AE13" t="str">
        <f t="shared" si="6"/>
        <v/>
      </c>
      <c r="AF13" t="str">
        <f t="shared" si="7"/>
        <v/>
      </c>
      <c r="AG13" t="str">
        <f t="shared" si="8"/>
        <v/>
      </c>
    </row>
    <row r="14" spans="1:33" x14ac:dyDescent="0.35">
      <c r="G14" s="15"/>
      <c r="H14" s="15"/>
      <c r="R14" t="str">
        <f>IFERROR(INDEX('1.11 Turmas'!$B$2:$B$61,MATCH(A14,'1.11 Turmas'!$A$2:$A$61,0)),"")</f>
        <v/>
      </c>
      <c r="S14" t="str">
        <f>IFERROR(INDEX('2.2 Disciplinas'!$B$2:$B$61,MATCH(B14,'2.2 Disciplinas'!$A$2:$A$61,0)),"")</f>
        <v/>
      </c>
      <c r="T14" t="str">
        <f>IFERROR(INDEX('2.4 Curriculos'!$C$2:$C$61,MATCH(C14,'2.4 Curriculos'!$B$2:$B$61,0)),"")</f>
        <v/>
      </c>
      <c r="U14" t="str">
        <f>IFERROR(INDEX('2.1 Cursos'!$B$2:$B$61,MATCH(D14,'2.1 Cursos'!$A$2:$A$61,0)),"")</f>
        <v/>
      </c>
      <c r="V14" t="str">
        <f>IFERROR(INDEX('2.3 Periodos'!$B$2:$B$61,MATCH(E14,'2.3 Periodos'!$A$2:$A$61,0)),"")</f>
        <v/>
      </c>
      <c r="W14" t="str">
        <f>IFERROR(INDEX('1.4 Turnos'!$B$2:$B$61,MATCH(F14,'1.4 Turnos'!$A$2:$A$61,0)),"")</f>
        <v/>
      </c>
      <c r="X14" t="str">
        <f t="shared" si="0"/>
        <v/>
      </c>
      <c r="Y14" t="str">
        <f t="shared" si="1"/>
        <v/>
      </c>
      <c r="Z14" t="str">
        <f t="shared" si="2"/>
        <v/>
      </c>
      <c r="AA14" t="str">
        <f t="shared" si="3"/>
        <v/>
      </c>
      <c r="AB14" t="str">
        <f t="shared" si="4"/>
        <v/>
      </c>
      <c r="AC14" t="str">
        <f t="shared" si="5"/>
        <v/>
      </c>
      <c r="AD14" t="str">
        <f>IFERROR(INDEX(Listas!$Z$2:$Z$3,MATCH(M14,Listas!$Y$2:$Y$3,0)),"")</f>
        <v/>
      </c>
      <c r="AE14" t="str">
        <f t="shared" si="6"/>
        <v/>
      </c>
      <c r="AF14" t="str">
        <f t="shared" si="7"/>
        <v/>
      </c>
      <c r="AG14" t="str">
        <f t="shared" si="8"/>
        <v/>
      </c>
    </row>
    <row r="15" spans="1:33" x14ac:dyDescent="0.35">
      <c r="G15" s="15"/>
      <c r="H15" s="15"/>
      <c r="R15" t="str">
        <f>IFERROR(INDEX('1.11 Turmas'!$B$2:$B$61,MATCH(A15,'1.11 Turmas'!$A$2:$A$61,0)),"")</f>
        <v/>
      </c>
      <c r="S15" t="str">
        <f>IFERROR(INDEX('2.2 Disciplinas'!$B$2:$B$61,MATCH(B15,'2.2 Disciplinas'!$A$2:$A$61,0)),"")</f>
        <v/>
      </c>
      <c r="T15" t="str">
        <f>IFERROR(INDEX('2.4 Curriculos'!$C$2:$C$61,MATCH(C15,'2.4 Curriculos'!$B$2:$B$61,0)),"")</f>
        <v/>
      </c>
      <c r="U15" t="str">
        <f>IFERROR(INDEX('2.1 Cursos'!$B$2:$B$61,MATCH(D15,'2.1 Cursos'!$A$2:$A$61,0)),"")</f>
        <v/>
      </c>
      <c r="V15" t="str">
        <f>IFERROR(INDEX('2.3 Periodos'!$B$2:$B$61,MATCH(E15,'2.3 Periodos'!$A$2:$A$61,0)),"")</f>
        <v/>
      </c>
      <c r="W15" t="str">
        <f>IFERROR(INDEX('1.4 Turnos'!$B$2:$B$61,MATCH(F15,'1.4 Turnos'!$A$2:$A$61,0)),"")</f>
        <v/>
      </c>
      <c r="X15" t="str">
        <f t="shared" si="0"/>
        <v/>
      </c>
      <c r="Y15" t="str">
        <f t="shared" si="1"/>
        <v/>
      </c>
      <c r="Z15" t="str">
        <f t="shared" si="2"/>
        <v/>
      </c>
      <c r="AA15" t="str">
        <f t="shared" si="3"/>
        <v/>
      </c>
      <c r="AB15" t="str">
        <f t="shared" si="4"/>
        <v/>
      </c>
      <c r="AC15" t="str">
        <f t="shared" si="5"/>
        <v/>
      </c>
      <c r="AD15" t="str">
        <f>IFERROR(INDEX(Listas!$Z$2:$Z$3,MATCH(M15,Listas!$Y$2:$Y$3,0)),"")</f>
        <v/>
      </c>
      <c r="AE15" t="str">
        <f t="shared" si="6"/>
        <v/>
      </c>
      <c r="AF15" t="str">
        <f t="shared" si="7"/>
        <v/>
      </c>
      <c r="AG15" t="str">
        <f t="shared" si="8"/>
        <v/>
      </c>
    </row>
    <row r="16" spans="1:33" x14ac:dyDescent="0.35">
      <c r="G16" s="15"/>
      <c r="H16" s="15"/>
      <c r="R16" t="str">
        <f>IFERROR(INDEX('1.11 Turmas'!$B$2:$B$61,MATCH(A16,'1.11 Turmas'!$A$2:$A$61,0)),"")</f>
        <v/>
      </c>
      <c r="S16" t="str">
        <f>IFERROR(INDEX('2.2 Disciplinas'!$B$2:$B$61,MATCH(B16,'2.2 Disciplinas'!$A$2:$A$61,0)),"")</f>
        <v/>
      </c>
      <c r="T16" t="str">
        <f>IFERROR(INDEX('2.4 Curriculos'!$C$2:$C$61,MATCH(C16,'2.4 Curriculos'!$B$2:$B$61,0)),"")</f>
        <v/>
      </c>
      <c r="U16" t="str">
        <f>IFERROR(INDEX('2.1 Cursos'!$B$2:$B$61,MATCH(D16,'2.1 Cursos'!$A$2:$A$61,0)),"")</f>
        <v/>
      </c>
      <c r="V16" t="str">
        <f>IFERROR(INDEX('2.3 Periodos'!$B$2:$B$61,MATCH(E16,'2.3 Periodos'!$A$2:$A$61,0)),"")</f>
        <v/>
      </c>
      <c r="W16" t="str">
        <f>IFERROR(INDEX('1.4 Turnos'!$B$2:$B$61,MATCH(F16,'1.4 Turnos'!$A$2:$A$61,0)),"")</f>
        <v/>
      </c>
      <c r="X16" t="str">
        <f t="shared" si="0"/>
        <v/>
      </c>
      <c r="Y16" t="str">
        <f t="shared" si="1"/>
        <v/>
      </c>
      <c r="Z16" t="str">
        <f t="shared" si="2"/>
        <v/>
      </c>
      <c r="AA16" t="str">
        <f t="shared" si="3"/>
        <v/>
      </c>
      <c r="AB16" t="str">
        <f t="shared" si="4"/>
        <v/>
      </c>
      <c r="AC16" t="str">
        <f t="shared" si="5"/>
        <v/>
      </c>
      <c r="AD16" t="str">
        <f>IFERROR(INDEX(Listas!$Z$2:$Z$3,MATCH(M16,Listas!$Y$2:$Y$3,0)),"")</f>
        <v/>
      </c>
      <c r="AE16" t="str">
        <f t="shared" si="6"/>
        <v/>
      </c>
      <c r="AF16" t="str">
        <f t="shared" si="7"/>
        <v/>
      </c>
      <c r="AG16" t="str">
        <f t="shared" si="8"/>
        <v/>
      </c>
    </row>
    <row r="17" spans="7:33" x14ac:dyDescent="0.35">
      <c r="G17" s="15"/>
      <c r="H17" s="15"/>
      <c r="R17" t="str">
        <f>IFERROR(INDEX('1.11 Turmas'!$B$2:$B$61,MATCH(A17,'1.11 Turmas'!$A$2:$A$61,0)),"")</f>
        <v/>
      </c>
      <c r="S17" t="str">
        <f>IFERROR(INDEX('2.2 Disciplinas'!$B$2:$B$61,MATCH(B17,'2.2 Disciplinas'!$A$2:$A$61,0)),"")</f>
        <v/>
      </c>
      <c r="T17" t="str">
        <f>IFERROR(INDEX('2.4 Curriculos'!$C$2:$C$61,MATCH(C17,'2.4 Curriculos'!$B$2:$B$61,0)),"")</f>
        <v/>
      </c>
      <c r="U17" t="str">
        <f>IFERROR(INDEX('2.1 Cursos'!$B$2:$B$61,MATCH(D17,'2.1 Cursos'!$A$2:$A$61,0)),"")</f>
        <v/>
      </c>
      <c r="V17" t="str">
        <f>IFERROR(INDEX('2.3 Periodos'!$B$2:$B$61,MATCH(E17,'2.3 Periodos'!$A$2:$A$61,0)),"")</f>
        <v/>
      </c>
      <c r="W17" t="str">
        <f>IFERROR(INDEX('1.4 Turnos'!$B$2:$B$61,MATCH(F17,'1.4 Turnos'!$A$2:$A$61,0)),"")</f>
        <v/>
      </c>
      <c r="X17" t="str">
        <f t="shared" si="0"/>
        <v/>
      </c>
      <c r="Y17" t="str">
        <f t="shared" si="1"/>
        <v/>
      </c>
      <c r="Z17" t="str">
        <f t="shared" si="2"/>
        <v/>
      </c>
      <c r="AA17" t="str">
        <f t="shared" si="3"/>
        <v/>
      </c>
      <c r="AB17" t="str">
        <f t="shared" si="4"/>
        <v/>
      </c>
      <c r="AC17" t="str">
        <f t="shared" si="5"/>
        <v/>
      </c>
      <c r="AD17" t="str">
        <f>IFERROR(INDEX(Listas!$Z$2:$Z$3,MATCH(M17,Listas!$Y$2:$Y$3,0)),"")</f>
        <v/>
      </c>
      <c r="AE17" t="str">
        <f t="shared" si="6"/>
        <v/>
      </c>
      <c r="AF17" t="str">
        <f t="shared" si="7"/>
        <v/>
      </c>
      <c r="AG17" t="str">
        <f t="shared" si="8"/>
        <v/>
      </c>
    </row>
    <row r="18" spans="7:33" x14ac:dyDescent="0.35">
      <c r="G18" s="15"/>
      <c r="H18" s="15"/>
      <c r="R18" t="str">
        <f>IFERROR(INDEX('1.11 Turmas'!$B$2:$B$61,MATCH(A18,'1.11 Turmas'!$A$2:$A$61,0)),"")</f>
        <v/>
      </c>
      <c r="S18" t="str">
        <f>IFERROR(INDEX('2.2 Disciplinas'!$B$2:$B$61,MATCH(B18,'2.2 Disciplinas'!$A$2:$A$61,0)),"")</f>
        <v/>
      </c>
      <c r="T18" t="str">
        <f>IFERROR(INDEX('2.4 Curriculos'!$C$2:$C$61,MATCH(C18,'2.4 Curriculos'!$B$2:$B$61,0)),"")</f>
        <v/>
      </c>
      <c r="U18" t="str">
        <f>IFERROR(INDEX('2.1 Cursos'!$B$2:$B$61,MATCH(D18,'2.1 Cursos'!$A$2:$A$61,0)),"")</f>
        <v/>
      </c>
      <c r="V18" t="str">
        <f>IFERROR(INDEX('2.3 Periodos'!$B$2:$B$61,MATCH(E18,'2.3 Periodos'!$A$2:$A$61,0)),"")</f>
        <v/>
      </c>
      <c r="W18" t="str">
        <f>IFERROR(INDEX('1.4 Turnos'!$B$2:$B$61,MATCH(F18,'1.4 Turnos'!$A$2:$A$61,0)),"")</f>
        <v/>
      </c>
      <c r="X18" t="str">
        <f t="shared" si="0"/>
        <v/>
      </c>
      <c r="Y18" t="str">
        <f t="shared" si="1"/>
        <v/>
      </c>
      <c r="Z18" t="str">
        <f t="shared" si="2"/>
        <v/>
      </c>
      <c r="AA18" t="str">
        <f t="shared" si="3"/>
        <v/>
      </c>
      <c r="AB18" t="str">
        <f t="shared" si="4"/>
        <v/>
      </c>
      <c r="AC18" t="str">
        <f t="shared" si="5"/>
        <v/>
      </c>
      <c r="AD18" t="str">
        <f>IFERROR(INDEX(Listas!$Z$2:$Z$3,MATCH(M18,Listas!$Y$2:$Y$3,0)),"")</f>
        <v/>
      </c>
      <c r="AE18" t="str">
        <f t="shared" si="6"/>
        <v/>
      </c>
      <c r="AF18" t="str">
        <f t="shared" si="7"/>
        <v/>
      </c>
      <c r="AG18" t="str">
        <f t="shared" si="8"/>
        <v/>
      </c>
    </row>
    <row r="19" spans="7:33" x14ac:dyDescent="0.35">
      <c r="G19" s="15"/>
      <c r="H19" s="15"/>
      <c r="R19" t="str">
        <f>IFERROR(INDEX('1.11 Turmas'!$B$2:$B$61,MATCH(A19,'1.11 Turmas'!$A$2:$A$61,0)),"")</f>
        <v/>
      </c>
      <c r="S19" t="str">
        <f>IFERROR(INDEX('2.2 Disciplinas'!$B$2:$B$61,MATCH(B19,'2.2 Disciplinas'!$A$2:$A$61,0)),"")</f>
        <v/>
      </c>
      <c r="T19" t="str">
        <f>IFERROR(INDEX('2.4 Curriculos'!$C$2:$C$61,MATCH(C19,'2.4 Curriculos'!$B$2:$B$61,0)),"")</f>
        <v/>
      </c>
      <c r="U19" t="str">
        <f>IFERROR(INDEX('2.1 Cursos'!$B$2:$B$61,MATCH(D19,'2.1 Cursos'!$A$2:$A$61,0)),"")</f>
        <v/>
      </c>
      <c r="V19" t="str">
        <f>IFERROR(INDEX('2.3 Periodos'!$B$2:$B$61,MATCH(E19,'2.3 Periodos'!$A$2:$A$61,0)),"")</f>
        <v/>
      </c>
      <c r="W19" t="str">
        <f>IFERROR(INDEX('1.4 Turnos'!$B$2:$B$61,MATCH(F19,'1.4 Turnos'!$A$2:$A$61,0)),"")</f>
        <v/>
      </c>
      <c r="X19" t="str">
        <f t="shared" si="0"/>
        <v/>
      </c>
      <c r="Y19" t="str">
        <f t="shared" si="1"/>
        <v/>
      </c>
      <c r="Z19" t="str">
        <f t="shared" si="2"/>
        <v/>
      </c>
      <c r="AA19" t="str">
        <f t="shared" si="3"/>
        <v/>
      </c>
      <c r="AB19" t="str">
        <f t="shared" si="4"/>
        <v/>
      </c>
      <c r="AC19" t="str">
        <f t="shared" si="5"/>
        <v/>
      </c>
      <c r="AD19" t="str">
        <f>IFERROR(INDEX(Listas!$Z$2:$Z$3,MATCH(M19,Listas!$Y$2:$Y$3,0)),"")</f>
        <v/>
      </c>
      <c r="AE19" t="str">
        <f t="shared" si="6"/>
        <v/>
      </c>
      <c r="AF19" t="str">
        <f t="shared" si="7"/>
        <v/>
      </c>
      <c r="AG19" t="str">
        <f t="shared" si="8"/>
        <v/>
      </c>
    </row>
    <row r="20" spans="7:33" x14ac:dyDescent="0.35">
      <c r="G20" s="15"/>
      <c r="H20" s="15"/>
      <c r="R20" t="str">
        <f>IFERROR(INDEX('1.11 Turmas'!$B$2:$B$61,MATCH(A20,'1.11 Turmas'!$A$2:$A$61,0)),"")</f>
        <v/>
      </c>
      <c r="S20" t="str">
        <f>IFERROR(INDEX('2.2 Disciplinas'!$B$2:$B$61,MATCH(B20,'2.2 Disciplinas'!$A$2:$A$61,0)),"")</f>
        <v/>
      </c>
      <c r="T20" t="str">
        <f>IFERROR(INDEX('2.4 Curriculos'!$C$2:$C$61,MATCH(C20,'2.4 Curriculos'!$B$2:$B$61,0)),"")</f>
        <v/>
      </c>
      <c r="U20" t="str">
        <f>IFERROR(INDEX('2.1 Cursos'!$B$2:$B$61,MATCH(D20,'2.1 Cursos'!$A$2:$A$61,0)),"")</f>
        <v/>
      </c>
      <c r="V20" t="str">
        <f>IFERROR(INDEX('2.3 Periodos'!$B$2:$B$61,MATCH(E20,'2.3 Periodos'!$A$2:$A$61,0)),"")</f>
        <v/>
      </c>
      <c r="W20" t="str">
        <f>IFERROR(INDEX('1.4 Turnos'!$B$2:$B$61,MATCH(F20,'1.4 Turnos'!$A$2:$A$61,0)),"")</f>
        <v/>
      </c>
      <c r="X20" t="str">
        <f t="shared" si="0"/>
        <v/>
      </c>
      <c r="Y20" t="str">
        <f t="shared" si="1"/>
        <v/>
      </c>
      <c r="Z20" t="str">
        <f t="shared" si="2"/>
        <v/>
      </c>
      <c r="AA20" t="str">
        <f t="shared" si="3"/>
        <v/>
      </c>
      <c r="AB20" t="str">
        <f t="shared" si="4"/>
        <v/>
      </c>
      <c r="AC20" t="str">
        <f t="shared" si="5"/>
        <v/>
      </c>
      <c r="AD20" t="str">
        <f>IFERROR(INDEX(Listas!$Z$2:$Z$3,MATCH(M20,Listas!$Y$2:$Y$3,0)),"")</f>
        <v/>
      </c>
      <c r="AE20" t="str">
        <f t="shared" si="6"/>
        <v/>
      </c>
      <c r="AF20" t="str">
        <f t="shared" si="7"/>
        <v/>
      </c>
      <c r="AG20" t="str">
        <f t="shared" si="8"/>
        <v/>
      </c>
    </row>
    <row r="21" spans="7:33" x14ac:dyDescent="0.35">
      <c r="G21" s="15"/>
      <c r="H21" s="15"/>
      <c r="R21" t="str">
        <f>IFERROR(INDEX('1.11 Turmas'!$B$2:$B$61,MATCH(A21,'1.11 Turmas'!$A$2:$A$61,0)),"")</f>
        <v/>
      </c>
      <c r="S21" t="str">
        <f>IFERROR(INDEX('2.2 Disciplinas'!$B$2:$B$61,MATCH(B21,'2.2 Disciplinas'!$A$2:$A$61,0)),"")</f>
        <v/>
      </c>
      <c r="T21" t="str">
        <f>IFERROR(INDEX('2.4 Curriculos'!$C$2:$C$61,MATCH(C21,'2.4 Curriculos'!$B$2:$B$61,0)),"")</f>
        <v/>
      </c>
      <c r="U21" t="str">
        <f>IFERROR(INDEX('2.1 Cursos'!$B$2:$B$61,MATCH(D21,'2.1 Cursos'!$A$2:$A$61,0)),"")</f>
        <v/>
      </c>
      <c r="V21" t="str">
        <f>IFERROR(INDEX('2.3 Periodos'!$B$2:$B$61,MATCH(E21,'2.3 Periodos'!$A$2:$A$61,0)),"")</f>
        <v/>
      </c>
      <c r="W21" t="str">
        <f>IFERROR(INDEX('1.4 Turnos'!$B$2:$B$61,MATCH(F21,'1.4 Turnos'!$A$2:$A$61,0)),"")</f>
        <v/>
      </c>
      <c r="X21" t="str">
        <f t="shared" si="0"/>
        <v/>
      </c>
      <c r="Y21" t="str">
        <f t="shared" si="1"/>
        <v/>
      </c>
      <c r="Z21" t="str">
        <f t="shared" si="2"/>
        <v/>
      </c>
      <c r="AA21" t="str">
        <f t="shared" si="3"/>
        <v/>
      </c>
      <c r="AB21" t="str">
        <f t="shared" si="4"/>
        <v/>
      </c>
      <c r="AC21" t="str">
        <f t="shared" si="5"/>
        <v/>
      </c>
      <c r="AD21" t="str">
        <f>IFERROR(INDEX(Listas!$Z$2:$Z$3,MATCH(M21,Listas!$Y$2:$Y$3,0)),"")</f>
        <v/>
      </c>
      <c r="AE21" t="str">
        <f t="shared" si="6"/>
        <v/>
      </c>
      <c r="AF21" t="str">
        <f t="shared" si="7"/>
        <v/>
      </c>
      <c r="AG21" t="str">
        <f t="shared" si="8"/>
        <v/>
      </c>
    </row>
    <row r="22" spans="7:33" x14ac:dyDescent="0.35">
      <c r="G22" s="15"/>
      <c r="H22" s="15"/>
      <c r="R22" t="str">
        <f>IFERROR(INDEX('1.11 Turmas'!$B$2:$B$61,MATCH(A22,'1.11 Turmas'!$A$2:$A$61,0)),"")</f>
        <v/>
      </c>
      <c r="S22" t="str">
        <f>IFERROR(INDEX('2.2 Disciplinas'!$B$2:$B$61,MATCH(B22,'2.2 Disciplinas'!$A$2:$A$61,0)),"")</f>
        <v/>
      </c>
      <c r="T22" t="str">
        <f>IFERROR(INDEX('2.4 Curriculos'!$C$2:$C$61,MATCH(C22,'2.4 Curriculos'!$B$2:$B$61,0)),"")</f>
        <v/>
      </c>
      <c r="U22" t="str">
        <f>IFERROR(INDEX('2.1 Cursos'!$B$2:$B$61,MATCH(D22,'2.1 Cursos'!$A$2:$A$61,0)),"")</f>
        <v/>
      </c>
      <c r="V22" t="str">
        <f>IFERROR(INDEX('2.3 Periodos'!$B$2:$B$61,MATCH(E22,'2.3 Periodos'!$A$2:$A$61,0)),"")</f>
        <v/>
      </c>
      <c r="W22" t="str">
        <f>IFERROR(INDEX('1.4 Turnos'!$B$2:$B$61,MATCH(F22,'1.4 Turnos'!$A$2:$A$61,0)),"")</f>
        <v/>
      </c>
      <c r="X22" t="str">
        <f t="shared" si="0"/>
        <v/>
      </c>
      <c r="Y22" t="str">
        <f t="shared" si="1"/>
        <v/>
      </c>
      <c r="Z22" t="str">
        <f t="shared" si="2"/>
        <v/>
      </c>
      <c r="AA22" t="str">
        <f t="shared" si="3"/>
        <v/>
      </c>
      <c r="AB22" t="str">
        <f t="shared" si="4"/>
        <v/>
      </c>
      <c r="AC22" t="str">
        <f t="shared" si="5"/>
        <v/>
      </c>
      <c r="AD22" t="str">
        <f>IFERROR(INDEX(Listas!$Z$2:$Z$3,MATCH(M22,Listas!$Y$2:$Y$3,0)),"")</f>
        <v/>
      </c>
      <c r="AE22" t="str">
        <f t="shared" si="6"/>
        <v/>
      </c>
      <c r="AF22" t="str">
        <f t="shared" si="7"/>
        <v/>
      </c>
      <c r="AG22" t="str">
        <f t="shared" si="8"/>
        <v/>
      </c>
    </row>
    <row r="23" spans="7:33" x14ac:dyDescent="0.35">
      <c r="G23" s="15"/>
      <c r="H23" s="15"/>
      <c r="R23" t="str">
        <f>IFERROR(INDEX('1.11 Turmas'!$B$2:$B$61,MATCH(A23,'1.11 Turmas'!$A$2:$A$61,0)),"")</f>
        <v/>
      </c>
      <c r="S23" t="str">
        <f>IFERROR(INDEX('2.2 Disciplinas'!$B$2:$B$61,MATCH(B23,'2.2 Disciplinas'!$A$2:$A$61,0)),"")</f>
        <v/>
      </c>
      <c r="T23" t="str">
        <f>IFERROR(INDEX('2.4 Curriculos'!$C$2:$C$61,MATCH(C23,'2.4 Curriculos'!$B$2:$B$61,0)),"")</f>
        <v/>
      </c>
      <c r="U23" t="str">
        <f>IFERROR(INDEX('2.1 Cursos'!$B$2:$B$61,MATCH(D23,'2.1 Cursos'!$A$2:$A$61,0)),"")</f>
        <v/>
      </c>
      <c r="V23" t="str">
        <f>IFERROR(INDEX('2.3 Periodos'!$B$2:$B$61,MATCH(E23,'2.3 Periodos'!$A$2:$A$61,0)),"")</f>
        <v/>
      </c>
      <c r="W23" t="str">
        <f>IFERROR(INDEX('1.4 Turnos'!$B$2:$B$61,MATCH(F23,'1.4 Turnos'!$A$2:$A$61,0)),"")</f>
        <v/>
      </c>
      <c r="X23" t="str">
        <f t="shared" si="0"/>
        <v/>
      </c>
      <c r="Y23" t="str">
        <f t="shared" si="1"/>
        <v/>
      </c>
      <c r="Z23" t="str">
        <f t="shared" si="2"/>
        <v/>
      </c>
      <c r="AA23" t="str">
        <f t="shared" si="3"/>
        <v/>
      </c>
      <c r="AB23" t="str">
        <f t="shared" si="4"/>
        <v/>
      </c>
      <c r="AC23" t="str">
        <f t="shared" si="5"/>
        <v/>
      </c>
      <c r="AD23" t="str">
        <f>IFERROR(INDEX(Listas!$Z$2:$Z$3,MATCH(M23,Listas!$Y$2:$Y$3,0)),"")</f>
        <v/>
      </c>
      <c r="AE23" t="str">
        <f t="shared" si="6"/>
        <v/>
      </c>
      <c r="AF23" t="str">
        <f t="shared" si="7"/>
        <v/>
      </c>
      <c r="AG23" t="str">
        <f t="shared" si="8"/>
        <v/>
      </c>
    </row>
    <row r="24" spans="7:33" x14ac:dyDescent="0.35">
      <c r="G24" s="15"/>
      <c r="H24" s="15"/>
      <c r="R24" t="str">
        <f>IFERROR(INDEX('1.11 Turmas'!$B$2:$B$61,MATCH(A24,'1.11 Turmas'!$A$2:$A$61,0)),"")</f>
        <v/>
      </c>
      <c r="S24" t="str">
        <f>IFERROR(INDEX('2.2 Disciplinas'!$B$2:$B$61,MATCH(B24,'2.2 Disciplinas'!$A$2:$A$61,0)),"")</f>
        <v/>
      </c>
      <c r="T24" t="str">
        <f>IFERROR(INDEX('2.4 Curriculos'!$C$2:$C$61,MATCH(C24,'2.4 Curriculos'!$B$2:$B$61,0)),"")</f>
        <v/>
      </c>
      <c r="U24" t="str">
        <f>IFERROR(INDEX('2.1 Cursos'!$B$2:$B$61,MATCH(D24,'2.1 Cursos'!$A$2:$A$61,0)),"")</f>
        <v/>
      </c>
      <c r="V24" t="str">
        <f>IFERROR(INDEX('2.3 Periodos'!$B$2:$B$61,MATCH(E24,'2.3 Periodos'!$A$2:$A$61,0)),"")</f>
        <v/>
      </c>
      <c r="W24" t="str">
        <f>IFERROR(INDEX('1.4 Turnos'!$B$2:$B$61,MATCH(F24,'1.4 Turnos'!$A$2:$A$61,0)),"")</f>
        <v/>
      </c>
      <c r="X24" t="str">
        <f t="shared" si="0"/>
        <v/>
      </c>
      <c r="Y24" t="str">
        <f t="shared" si="1"/>
        <v/>
      </c>
      <c r="Z24" t="str">
        <f t="shared" si="2"/>
        <v/>
      </c>
      <c r="AA24" t="str">
        <f t="shared" si="3"/>
        <v/>
      </c>
      <c r="AB24" t="str">
        <f t="shared" si="4"/>
        <v/>
      </c>
      <c r="AC24" t="str">
        <f t="shared" si="5"/>
        <v/>
      </c>
      <c r="AD24" t="str">
        <f>IFERROR(INDEX(Listas!$Z$2:$Z$3,MATCH(M24,Listas!$Y$2:$Y$3,0)),"")</f>
        <v/>
      </c>
      <c r="AE24" t="str">
        <f t="shared" si="6"/>
        <v/>
      </c>
      <c r="AF24" t="str">
        <f t="shared" si="7"/>
        <v/>
      </c>
      <c r="AG24" t="str">
        <f t="shared" si="8"/>
        <v/>
      </c>
    </row>
    <row r="25" spans="7:33" x14ac:dyDescent="0.35">
      <c r="G25" s="15"/>
      <c r="H25" s="15"/>
      <c r="R25" t="str">
        <f>IFERROR(INDEX('1.11 Turmas'!$B$2:$B$61,MATCH(A25,'1.11 Turmas'!$A$2:$A$61,0)),"")</f>
        <v/>
      </c>
      <c r="S25" t="str">
        <f>IFERROR(INDEX('2.2 Disciplinas'!$B$2:$B$61,MATCH(B25,'2.2 Disciplinas'!$A$2:$A$61,0)),"")</f>
        <v/>
      </c>
      <c r="T25" t="str">
        <f>IFERROR(INDEX('2.4 Curriculos'!$C$2:$C$61,MATCH(C25,'2.4 Curriculos'!$B$2:$B$61,0)),"")</f>
        <v/>
      </c>
      <c r="U25" t="str">
        <f>IFERROR(INDEX('2.1 Cursos'!$B$2:$B$61,MATCH(D25,'2.1 Cursos'!$A$2:$A$61,0)),"")</f>
        <v/>
      </c>
      <c r="V25" t="str">
        <f>IFERROR(INDEX('2.3 Periodos'!$B$2:$B$61,MATCH(E25,'2.3 Periodos'!$A$2:$A$61,0)),"")</f>
        <v/>
      </c>
      <c r="W25" t="str">
        <f>IFERROR(INDEX('1.4 Turnos'!$B$2:$B$61,MATCH(F25,'1.4 Turnos'!$A$2:$A$61,0)),"")</f>
        <v/>
      </c>
      <c r="X25" t="str">
        <f t="shared" si="0"/>
        <v/>
      </c>
      <c r="Y25" t="str">
        <f t="shared" si="1"/>
        <v/>
      </c>
      <c r="Z25" t="str">
        <f t="shared" si="2"/>
        <v/>
      </c>
      <c r="AA25" t="str">
        <f t="shared" si="3"/>
        <v/>
      </c>
      <c r="AB25" t="str">
        <f t="shared" si="4"/>
        <v/>
      </c>
      <c r="AC25" t="str">
        <f t="shared" si="5"/>
        <v/>
      </c>
      <c r="AD25" t="str">
        <f>IFERROR(INDEX(Listas!$Z$2:$Z$3,MATCH(M25,Listas!$Y$2:$Y$3,0)),"")</f>
        <v/>
      </c>
      <c r="AE25" t="str">
        <f t="shared" si="6"/>
        <v/>
      </c>
      <c r="AF25" t="str">
        <f t="shared" si="7"/>
        <v/>
      </c>
      <c r="AG25" t="str">
        <f t="shared" si="8"/>
        <v/>
      </c>
    </row>
    <row r="26" spans="7:33" x14ac:dyDescent="0.35">
      <c r="G26" s="15"/>
      <c r="H26" s="15"/>
      <c r="R26" t="str">
        <f>IFERROR(INDEX('1.11 Turmas'!$B$2:$B$61,MATCH(A26,'1.11 Turmas'!$A$2:$A$61,0)),"")</f>
        <v/>
      </c>
      <c r="S26" t="str">
        <f>IFERROR(INDEX('2.2 Disciplinas'!$B$2:$B$61,MATCH(B26,'2.2 Disciplinas'!$A$2:$A$61,0)),"")</f>
        <v/>
      </c>
      <c r="T26" t="str">
        <f>IFERROR(INDEX('2.4 Curriculos'!$C$2:$C$61,MATCH(C26,'2.4 Curriculos'!$B$2:$B$61,0)),"")</f>
        <v/>
      </c>
      <c r="U26" t="str">
        <f>IFERROR(INDEX('2.1 Cursos'!$B$2:$B$61,MATCH(D26,'2.1 Cursos'!$A$2:$A$61,0)),"")</f>
        <v/>
      </c>
      <c r="V26" t="str">
        <f>IFERROR(INDEX('2.3 Periodos'!$B$2:$B$61,MATCH(E26,'2.3 Periodos'!$A$2:$A$61,0)),"")</f>
        <v/>
      </c>
      <c r="W26" t="str">
        <f>IFERROR(INDEX('1.4 Turnos'!$B$2:$B$61,MATCH(F26,'1.4 Turnos'!$A$2:$A$61,0)),"")</f>
        <v/>
      </c>
      <c r="X26" t="str">
        <f t="shared" si="0"/>
        <v/>
      </c>
      <c r="Y26" t="str">
        <f t="shared" si="1"/>
        <v/>
      </c>
      <c r="Z26" t="str">
        <f t="shared" si="2"/>
        <v/>
      </c>
      <c r="AA26" t="str">
        <f t="shared" si="3"/>
        <v/>
      </c>
      <c r="AB26" t="str">
        <f t="shared" si="4"/>
        <v/>
      </c>
      <c r="AC26" t="str">
        <f t="shared" si="5"/>
        <v/>
      </c>
      <c r="AD26" t="str">
        <f>IFERROR(INDEX(Listas!$Z$2:$Z$3,MATCH(M26,Listas!$Y$2:$Y$3,0)),"")</f>
        <v/>
      </c>
      <c r="AE26" t="str">
        <f t="shared" si="6"/>
        <v/>
      </c>
      <c r="AF26" t="str">
        <f t="shared" si="7"/>
        <v/>
      </c>
      <c r="AG26" t="str">
        <f t="shared" si="8"/>
        <v/>
      </c>
    </row>
    <row r="27" spans="7:33" x14ac:dyDescent="0.35">
      <c r="G27" s="15"/>
      <c r="H27" s="15"/>
      <c r="R27" t="str">
        <f>IFERROR(INDEX('1.11 Turmas'!$B$2:$B$61,MATCH(A27,'1.11 Turmas'!$A$2:$A$61,0)),"")</f>
        <v/>
      </c>
      <c r="S27" t="str">
        <f>IFERROR(INDEX('2.2 Disciplinas'!$B$2:$B$61,MATCH(B27,'2.2 Disciplinas'!$A$2:$A$61,0)),"")</f>
        <v/>
      </c>
      <c r="T27" t="str">
        <f>IFERROR(INDEX('2.4 Curriculos'!$C$2:$C$61,MATCH(C27,'2.4 Curriculos'!$B$2:$B$61,0)),"")</f>
        <v/>
      </c>
      <c r="U27" t="str">
        <f>IFERROR(INDEX('2.1 Cursos'!$B$2:$B$61,MATCH(D27,'2.1 Cursos'!$A$2:$A$61,0)),"")</f>
        <v/>
      </c>
      <c r="V27" t="str">
        <f>IFERROR(INDEX('2.3 Periodos'!$B$2:$B$61,MATCH(E27,'2.3 Periodos'!$A$2:$A$61,0)),"")</f>
        <v/>
      </c>
      <c r="W27" t="str">
        <f>IFERROR(INDEX('1.4 Turnos'!$B$2:$B$61,MATCH(F27,'1.4 Turnos'!$A$2:$A$61,0)),"")</f>
        <v/>
      </c>
      <c r="X27" t="str">
        <f t="shared" si="0"/>
        <v/>
      </c>
      <c r="Y27" t="str">
        <f t="shared" si="1"/>
        <v/>
      </c>
      <c r="Z27" t="str">
        <f t="shared" si="2"/>
        <v/>
      </c>
      <c r="AA27" t="str">
        <f t="shared" si="3"/>
        <v/>
      </c>
      <c r="AB27" t="str">
        <f t="shared" si="4"/>
        <v/>
      </c>
      <c r="AC27" t="str">
        <f t="shared" si="5"/>
        <v/>
      </c>
      <c r="AD27" t="str">
        <f>IFERROR(INDEX(Listas!$Z$2:$Z$3,MATCH(M27,Listas!$Y$2:$Y$3,0)),"")</f>
        <v/>
      </c>
      <c r="AE27" t="str">
        <f t="shared" si="6"/>
        <v/>
      </c>
      <c r="AF27" t="str">
        <f t="shared" si="7"/>
        <v/>
      </c>
      <c r="AG27" t="str">
        <f t="shared" si="8"/>
        <v/>
      </c>
    </row>
    <row r="28" spans="7:33" x14ac:dyDescent="0.35">
      <c r="G28" s="15"/>
      <c r="H28" s="15"/>
      <c r="R28" t="str">
        <f>IFERROR(INDEX('1.11 Turmas'!$B$2:$B$61,MATCH(A28,'1.11 Turmas'!$A$2:$A$61,0)),"")</f>
        <v/>
      </c>
      <c r="S28" t="str">
        <f>IFERROR(INDEX('2.2 Disciplinas'!$B$2:$B$61,MATCH(B28,'2.2 Disciplinas'!$A$2:$A$61,0)),"")</f>
        <v/>
      </c>
      <c r="T28" t="str">
        <f>IFERROR(INDEX('2.4 Curriculos'!$C$2:$C$61,MATCH(C28,'2.4 Curriculos'!$B$2:$B$61,0)),"")</f>
        <v/>
      </c>
      <c r="U28" t="str">
        <f>IFERROR(INDEX('2.1 Cursos'!$B$2:$B$61,MATCH(D28,'2.1 Cursos'!$A$2:$A$61,0)),"")</f>
        <v/>
      </c>
      <c r="V28" t="str">
        <f>IFERROR(INDEX('2.3 Periodos'!$B$2:$B$61,MATCH(E28,'2.3 Periodos'!$A$2:$A$61,0)),"")</f>
        <v/>
      </c>
      <c r="W28" t="str">
        <f>IFERROR(INDEX('1.4 Turnos'!$B$2:$B$61,MATCH(F28,'1.4 Turnos'!$A$2:$A$61,0)),"")</f>
        <v/>
      </c>
      <c r="X28" t="str">
        <f t="shared" si="0"/>
        <v/>
      </c>
      <c r="Y28" t="str">
        <f t="shared" si="1"/>
        <v/>
      </c>
      <c r="Z28" t="str">
        <f t="shared" si="2"/>
        <v/>
      </c>
      <c r="AA28" t="str">
        <f t="shared" si="3"/>
        <v/>
      </c>
      <c r="AB28" t="str">
        <f t="shared" si="4"/>
        <v/>
      </c>
      <c r="AC28" t="str">
        <f t="shared" si="5"/>
        <v/>
      </c>
      <c r="AD28" t="str">
        <f>IFERROR(INDEX(Listas!$Z$2:$Z$3,MATCH(M28,Listas!$Y$2:$Y$3,0)),"")</f>
        <v/>
      </c>
      <c r="AE28" t="str">
        <f t="shared" si="6"/>
        <v/>
      </c>
      <c r="AF28" t="str">
        <f t="shared" si="7"/>
        <v/>
      </c>
      <c r="AG28" t="str">
        <f t="shared" si="8"/>
        <v/>
      </c>
    </row>
    <row r="29" spans="7:33" x14ac:dyDescent="0.35">
      <c r="G29" s="15"/>
      <c r="H29" s="15"/>
      <c r="R29" t="str">
        <f>IFERROR(INDEX('1.11 Turmas'!$B$2:$B$61,MATCH(A29,'1.11 Turmas'!$A$2:$A$61,0)),"")</f>
        <v/>
      </c>
      <c r="S29" t="str">
        <f>IFERROR(INDEX('2.2 Disciplinas'!$B$2:$B$61,MATCH(B29,'2.2 Disciplinas'!$A$2:$A$61,0)),"")</f>
        <v/>
      </c>
      <c r="T29" t="str">
        <f>IFERROR(INDEX('2.4 Curriculos'!$C$2:$C$61,MATCH(C29,'2.4 Curriculos'!$B$2:$B$61,0)),"")</f>
        <v/>
      </c>
      <c r="U29" t="str">
        <f>IFERROR(INDEX('2.1 Cursos'!$B$2:$B$61,MATCH(D29,'2.1 Cursos'!$A$2:$A$61,0)),"")</f>
        <v/>
      </c>
      <c r="V29" t="str">
        <f>IFERROR(INDEX('2.3 Periodos'!$B$2:$B$61,MATCH(E29,'2.3 Periodos'!$A$2:$A$61,0)),"")</f>
        <v/>
      </c>
      <c r="W29" t="str">
        <f>IFERROR(INDEX('1.4 Turnos'!$B$2:$B$61,MATCH(F29,'1.4 Turnos'!$A$2:$A$61,0)),"")</f>
        <v/>
      </c>
      <c r="X29" t="str">
        <f t="shared" si="0"/>
        <v/>
      </c>
      <c r="Y29" t="str">
        <f t="shared" si="1"/>
        <v/>
      </c>
      <c r="Z29" t="str">
        <f t="shared" si="2"/>
        <v/>
      </c>
      <c r="AA29" t="str">
        <f t="shared" si="3"/>
        <v/>
      </c>
      <c r="AB29" t="str">
        <f t="shared" si="4"/>
        <v/>
      </c>
      <c r="AC29" t="str">
        <f t="shared" si="5"/>
        <v/>
      </c>
      <c r="AD29" t="str">
        <f>IFERROR(INDEX(Listas!$Z$2:$Z$3,MATCH(M29,Listas!$Y$2:$Y$3,0)),"")</f>
        <v/>
      </c>
      <c r="AE29" t="str">
        <f t="shared" si="6"/>
        <v/>
      </c>
      <c r="AF29" t="str">
        <f t="shared" si="7"/>
        <v/>
      </c>
      <c r="AG29" t="str">
        <f t="shared" si="8"/>
        <v/>
      </c>
    </row>
    <row r="30" spans="7:33" x14ac:dyDescent="0.35">
      <c r="G30" s="15"/>
      <c r="H30" s="15"/>
      <c r="R30" t="str">
        <f>IFERROR(INDEX('1.11 Turmas'!$B$2:$B$61,MATCH(A30,'1.11 Turmas'!$A$2:$A$61,0)),"")</f>
        <v/>
      </c>
      <c r="S30" t="str">
        <f>IFERROR(INDEX('2.2 Disciplinas'!$B$2:$B$61,MATCH(B30,'2.2 Disciplinas'!$A$2:$A$61,0)),"")</f>
        <v/>
      </c>
      <c r="T30" t="str">
        <f>IFERROR(INDEX('2.4 Curriculos'!$C$2:$C$61,MATCH(C30,'2.4 Curriculos'!$B$2:$B$61,0)),"")</f>
        <v/>
      </c>
      <c r="U30" t="str">
        <f>IFERROR(INDEX('2.1 Cursos'!$B$2:$B$61,MATCH(D30,'2.1 Cursos'!$A$2:$A$61,0)),"")</f>
        <v/>
      </c>
      <c r="V30" t="str">
        <f>IFERROR(INDEX('2.3 Periodos'!$B$2:$B$61,MATCH(E30,'2.3 Periodos'!$A$2:$A$61,0)),"")</f>
        <v/>
      </c>
      <c r="W30" t="str">
        <f>IFERROR(INDEX('1.4 Turnos'!$B$2:$B$61,MATCH(F30,'1.4 Turnos'!$A$2:$A$61,0)),"")</f>
        <v/>
      </c>
      <c r="X30" t="str">
        <f t="shared" si="0"/>
        <v/>
      </c>
      <c r="Y30" t="str">
        <f t="shared" si="1"/>
        <v/>
      </c>
      <c r="Z30" t="str">
        <f t="shared" si="2"/>
        <v/>
      </c>
      <c r="AA30" t="str">
        <f t="shared" si="3"/>
        <v/>
      </c>
      <c r="AB30" t="str">
        <f t="shared" si="4"/>
        <v/>
      </c>
      <c r="AC30" t="str">
        <f t="shared" si="5"/>
        <v/>
      </c>
      <c r="AD30" t="str">
        <f>IFERROR(INDEX(Listas!$Z$2:$Z$3,MATCH(M30,Listas!$Y$2:$Y$3,0)),"")</f>
        <v/>
      </c>
      <c r="AE30" t="str">
        <f t="shared" si="6"/>
        <v/>
      </c>
      <c r="AF30" t="str">
        <f t="shared" si="7"/>
        <v/>
      </c>
      <c r="AG30" t="str">
        <f t="shared" si="8"/>
        <v/>
      </c>
    </row>
    <row r="31" spans="7:33" x14ac:dyDescent="0.35">
      <c r="G31" s="15"/>
      <c r="H31" s="15"/>
      <c r="R31" t="str">
        <f>IFERROR(INDEX('1.11 Turmas'!$B$2:$B$61,MATCH(A31,'1.11 Turmas'!$A$2:$A$61,0)),"")</f>
        <v/>
      </c>
      <c r="S31" t="str">
        <f>IFERROR(INDEX('2.2 Disciplinas'!$B$2:$B$61,MATCH(B31,'2.2 Disciplinas'!$A$2:$A$61,0)),"")</f>
        <v/>
      </c>
      <c r="T31" t="str">
        <f>IFERROR(INDEX('2.4 Curriculos'!$C$2:$C$61,MATCH(C31,'2.4 Curriculos'!$B$2:$B$61,0)),"")</f>
        <v/>
      </c>
      <c r="U31" t="str">
        <f>IFERROR(INDEX('2.1 Cursos'!$B$2:$B$61,MATCH(D31,'2.1 Cursos'!$A$2:$A$61,0)),"")</f>
        <v/>
      </c>
      <c r="V31" t="str">
        <f>IFERROR(INDEX('2.3 Periodos'!$B$2:$B$61,MATCH(E31,'2.3 Periodos'!$A$2:$A$61,0)),"")</f>
        <v/>
      </c>
      <c r="W31" t="str">
        <f>IFERROR(INDEX('1.4 Turnos'!$B$2:$B$61,MATCH(F31,'1.4 Turnos'!$A$2:$A$61,0)),"")</f>
        <v/>
      </c>
      <c r="X31" t="str">
        <f t="shared" si="0"/>
        <v/>
      </c>
      <c r="Y31" t="str">
        <f t="shared" si="1"/>
        <v/>
      </c>
      <c r="Z31" t="str">
        <f t="shared" si="2"/>
        <v/>
      </c>
      <c r="AA31" t="str">
        <f t="shared" si="3"/>
        <v/>
      </c>
      <c r="AB31" t="str">
        <f t="shared" si="4"/>
        <v/>
      </c>
      <c r="AC31" t="str">
        <f t="shared" si="5"/>
        <v/>
      </c>
      <c r="AD31" t="str">
        <f>IFERROR(INDEX(Listas!$Z$2:$Z$3,MATCH(M31,Listas!$Y$2:$Y$3,0)),"")</f>
        <v/>
      </c>
      <c r="AE31" t="str">
        <f t="shared" si="6"/>
        <v/>
      </c>
      <c r="AF31" t="str">
        <f t="shared" si="7"/>
        <v/>
      </c>
      <c r="AG31" t="str">
        <f t="shared" si="8"/>
        <v/>
      </c>
    </row>
    <row r="32" spans="7:33" x14ac:dyDescent="0.35">
      <c r="G32" s="15"/>
      <c r="H32" s="15"/>
      <c r="R32" t="str">
        <f>IFERROR(INDEX('1.11 Turmas'!$B$2:$B$61,MATCH(A32,'1.11 Turmas'!$A$2:$A$61,0)),"")</f>
        <v/>
      </c>
      <c r="S32" t="str">
        <f>IFERROR(INDEX('2.2 Disciplinas'!$B$2:$B$61,MATCH(B32,'2.2 Disciplinas'!$A$2:$A$61,0)),"")</f>
        <v/>
      </c>
      <c r="T32" t="str">
        <f>IFERROR(INDEX('2.4 Curriculos'!$C$2:$C$61,MATCH(C32,'2.4 Curriculos'!$B$2:$B$61,0)),"")</f>
        <v/>
      </c>
      <c r="U32" t="str">
        <f>IFERROR(INDEX('2.1 Cursos'!$B$2:$B$61,MATCH(D32,'2.1 Cursos'!$A$2:$A$61,0)),"")</f>
        <v/>
      </c>
      <c r="V32" t="str">
        <f>IFERROR(INDEX('2.3 Periodos'!$B$2:$B$61,MATCH(E32,'2.3 Periodos'!$A$2:$A$61,0)),"")</f>
        <v/>
      </c>
      <c r="W32" t="str">
        <f>IFERROR(INDEX('1.4 Turnos'!$B$2:$B$61,MATCH(F32,'1.4 Turnos'!$A$2:$A$61,0)),"")</f>
        <v/>
      </c>
      <c r="X32" t="str">
        <f t="shared" si="0"/>
        <v/>
      </c>
      <c r="Y32" t="str">
        <f t="shared" si="1"/>
        <v/>
      </c>
      <c r="Z32" t="str">
        <f t="shared" si="2"/>
        <v/>
      </c>
      <c r="AA32" t="str">
        <f t="shared" si="3"/>
        <v/>
      </c>
      <c r="AB32" t="str">
        <f t="shared" si="4"/>
        <v/>
      </c>
      <c r="AC32" t="str">
        <f t="shared" si="5"/>
        <v/>
      </c>
      <c r="AD32" t="str">
        <f>IFERROR(INDEX(Listas!$Z$2:$Z$3,MATCH(M32,Listas!$Y$2:$Y$3,0)),"")</f>
        <v/>
      </c>
      <c r="AE32" t="str">
        <f t="shared" si="6"/>
        <v/>
      </c>
      <c r="AF32" t="str">
        <f t="shared" si="7"/>
        <v/>
      </c>
      <c r="AG32" t="str">
        <f t="shared" si="8"/>
        <v/>
      </c>
    </row>
    <row r="33" spans="7:33" x14ac:dyDescent="0.35">
      <c r="G33" s="15"/>
      <c r="H33" s="15"/>
      <c r="R33" t="str">
        <f>IFERROR(INDEX('1.11 Turmas'!$B$2:$B$61,MATCH(A33,'1.11 Turmas'!$A$2:$A$61,0)),"")</f>
        <v/>
      </c>
      <c r="S33" t="str">
        <f>IFERROR(INDEX('2.2 Disciplinas'!$B$2:$B$61,MATCH(B33,'2.2 Disciplinas'!$A$2:$A$61,0)),"")</f>
        <v/>
      </c>
      <c r="T33" t="str">
        <f>IFERROR(INDEX('2.4 Curriculos'!$C$2:$C$61,MATCH(C33,'2.4 Curriculos'!$B$2:$B$61,0)),"")</f>
        <v/>
      </c>
      <c r="U33" t="str">
        <f>IFERROR(INDEX('2.1 Cursos'!$B$2:$B$61,MATCH(D33,'2.1 Cursos'!$A$2:$A$61,0)),"")</f>
        <v/>
      </c>
      <c r="V33" t="str">
        <f>IFERROR(INDEX('2.3 Periodos'!$B$2:$B$61,MATCH(E33,'2.3 Periodos'!$A$2:$A$61,0)),"")</f>
        <v/>
      </c>
      <c r="W33" t="str">
        <f>IFERROR(INDEX('1.4 Turnos'!$B$2:$B$61,MATCH(F33,'1.4 Turnos'!$A$2:$A$61,0)),"")</f>
        <v/>
      </c>
      <c r="X33" t="str">
        <f t="shared" si="0"/>
        <v/>
      </c>
      <c r="Y33" t="str">
        <f t="shared" si="1"/>
        <v/>
      </c>
      <c r="Z33" t="str">
        <f t="shared" si="2"/>
        <v/>
      </c>
      <c r="AA33" t="str">
        <f t="shared" si="3"/>
        <v/>
      </c>
      <c r="AB33" t="str">
        <f t="shared" si="4"/>
        <v/>
      </c>
      <c r="AC33" t="str">
        <f t="shared" si="5"/>
        <v/>
      </c>
      <c r="AD33" t="str">
        <f>IFERROR(INDEX(Listas!$Z$2:$Z$3,MATCH(M33,Listas!$Y$2:$Y$3,0)),"")</f>
        <v/>
      </c>
      <c r="AE33" t="str">
        <f t="shared" si="6"/>
        <v/>
      </c>
      <c r="AF33" t="str">
        <f t="shared" si="7"/>
        <v/>
      </c>
      <c r="AG33" t="str">
        <f t="shared" si="8"/>
        <v/>
      </c>
    </row>
    <row r="34" spans="7:33" x14ac:dyDescent="0.35">
      <c r="G34" s="15"/>
      <c r="H34" s="15"/>
      <c r="R34" t="str">
        <f>IFERROR(INDEX('1.11 Turmas'!$B$2:$B$61,MATCH(A34,'1.11 Turmas'!$A$2:$A$61,0)),"")</f>
        <v/>
      </c>
      <c r="S34" t="str">
        <f>IFERROR(INDEX('2.2 Disciplinas'!$B$2:$B$61,MATCH(B34,'2.2 Disciplinas'!$A$2:$A$61,0)),"")</f>
        <v/>
      </c>
      <c r="T34" t="str">
        <f>IFERROR(INDEX('2.4 Curriculos'!$C$2:$C$61,MATCH(C34,'2.4 Curriculos'!$B$2:$B$61,0)),"")</f>
        <v/>
      </c>
      <c r="U34" t="str">
        <f>IFERROR(INDEX('2.1 Cursos'!$B$2:$B$61,MATCH(D34,'2.1 Cursos'!$A$2:$A$61,0)),"")</f>
        <v/>
      </c>
      <c r="V34" t="str">
        <f>IFERROR(INDEX('2.3 Periodos'!$B$2:$B$61,MATCH(E34,'2.3 Periodos'!$A$2:$A$61,0)),"")</f>
        <v/>
      </c>
      <c r="W34" t="str">
        <f>IFERROR(INDEX('1.4 Turnos'!$B$2:$B$61,MATCH(F34,'1.4 Turnos'!$A$2:$A$61,0)),"")</f>
        <v/>
      </c>
      <c r="X34" t="str">
        <f t="shared" ref="X34:X61" si="9">IF(G34="","",TEXT(G34,"yyyy-mm-dd"))</f>
        <v/>
      </c>
      <c r="Y34" t="str">
        <f t="shared" ref="Y34:Y61" si="10">IF(H34="","",TEXT(H34,"yyyy-mm-dd"))</f>
        <v/>
      </c>
      <c r="Z34" t="str">
        <f t="shared" ref="Z34:Z61" si="11">IF(I34="","",I34)</f>
        <v/>
      </c>
      <c r="AA34" t="str">
        <f t="shared" ref="AA34:AA61" si="12">IF(J34="Sim","true",IF(J34="Não","false",""))</f>
        <v/>
      </c>
      <c r="AB34" t="str">
        <f t="shared" ref="AB34:AB61" si="13">IF(K34="Sim","true",IF(K34="Não","false",""))</f>
        <v/>
      </c>
      <c r="AC34" t="str">
        <f t="shared" ref="AC34:AC61" si="14">IF(L34="","",L34)</f>
        <v/>
      </c>
      <c r="AD34" t="str">
        <f>IFERROR(INDEX(Listas!$Z$2:$Z$3,MATCH(M34,Listas!$Y$2:$Y$3,0)),"")</f>
        <v/>
      </c>
      <c r="AE34" t="str">
        <f t="shared" ref="AE34:AE61" si="15">IF(N34="Sim","true",IF(N34="Não","false",""))</f>
        <v/>
      </c>
      <c r="AF34" t="str">
        <f t="shared" ref="AF34:AF61" si="16">IF(O34="Sim","true",IF(O34="Não","false",""))</f>
        <v/>
      </c>
      <c r="AG34" t="str">
        <f t="shared" ref="AG34:AG61" si="17">IF(P34="Sim","true",IF(P34="Não","false",""))</f>
        <v/>
      </c>
    </row>
    <row r="35" spans="7:33" x14ac:dyDescent="0.35">
      <c r="G35" s="15"/>
      <c r="H35" s="15"/>
      <c r="R35" t="str">
        <f>IFERROR(INDEX('1.11 Turmas'!$B$2:$B$61,MATCH(A35,'1.11 Turmas'!$A$2:$A$61,0)),"")</f>
        <v/>
      </c>
      <c r="S35" t="str">
        <f>IFERROR(INDEX('2.2 Disciplinas'!$B$2:$B$61,MATCH(B35,'2.2 Disciplinas'!$A$2:$A$61,0)),"")</f>
        <v/>
      </c>
      <c r="T35" t="str">
        <f>IFERROR(INDEX('2.4 Curriculos'!$C$2:$C$61,MATCH(C35,'2.4 Curriculos'!$B$2:$B$61,0)),"")</f>
        <v/>
      </c>
      <c r="U35" t="str">
        <f>IFERROR(INDEX('2.1 Cursos'!$B$2:$B$61,MATCH(D35,'2.1 Cursos'!$A$2:$A$61,0)),"")</f>
        <v/>
      </c>
      <c r="V35" t="str">
        <f>IFERROR(INDEX('2.3 Periodos'!$B$2:$B$61,MATCH(E35,'2.3 Periodos'!$A$2:$A$61,0)),"")</f>
        <v/>
      </c>
      <c r="W35" t="str">
        <f>IFERROR(INDEX('1.4 Turnos'!$B$2:$B$61,MATCH(F35,'1.4 Turnos'!$A$2:$A$61,0)),"")</f>
        <v/>
      </c>
      <c r="X35" t="str">
        <f t="shared" si="9"/>
        <v/>
      </c>
      <c r="Y35" t="str">
        <f t="shared" si="10"/>
        <v/>
      </c>
      <c r="Z35" t="str">
        <f t="shared" si="11"/>
        <v/>
      </c>
      <c r="AA35" t="str">
        <f t="shared" si="12"/>
        <v/>
      </c>
      <c r="AB35" t="str">
        <f t="shared" si="13"/>
        <v/>
      </c>
      <c r="AC35" t="str">
        <f t="shared" si="14"/>
        <v/>
      </c>
      <c r="AD35" t="str">
        <f>IFERROR(INDEX(Listas!$Z$2:$Z$3,MATCH(M35,Listas!$Y$2:$Y$3,0)),"")</f>
        <v/>
      </c>
      <c r="AE35" t="str">
        <f t="shared" si="15"/>
        <v/>
      </c>
      <c r="AF35" t="str">
        <f t="shared" si="16"/>
        <v/>
      </c>
      <c r="AG35" t="str">
        <f t="shared" si="17"/>
        <v/>
      </c>
    </row>
    <row r="36" spans="7:33" x14ac:dyDescent="0.35">
      <c r="G36" s="15"/>
      <c r="H36" s="15"/>
      <c r="R36" t="str">
        <f>IFERROR(INDEX('1.11 Turmas'!$B$2:$B$61,MATCH(A36,'1.11 Turmas'!$A$2:$A$61,0)),"")</f>
        <v/>
      </c>
      <c r="S36" t="str">
        <f>IFERROR(INDEX('2.2 Disciplinas'!$B$2:$B$61,MATCH(B36,'2.2 Disciplinas'!$A$2:$A$61,0)),"")</f>
        <v/>
      </c>
      <c r="T36" t="str">
        <f>IFERROR(INDEX('2.4 Curriculos'!$C$2:$C$61,MATCH(C36,'2.4 Curriculos'!$B$2:$B$61,0)),"")</f>
        <v/>
      </c>
      <c r="U36" t="str">
        <f>IFERROR(INDEX('2.1 Cursos'!$B$2:$B$61,MATCH(D36,'2.1 Cursos'!$A$2:$A$61,0)),"")</f>
        <v/>
      </c>
      <c r="V36" t="str">
        <f>IFERROR(INDEX('2.3 Periodos'!$B$2:$B$61,MATCH(E36,'2.3 Periodos'!$A$2:$A$61,0)),"")</f>
        <v/>
      </c>
      <c r="W36" t="str">
        <f>IFERROR(INDEX('1.4 Turnos'!$B$2:$B$61,MATCH(F36,'1.4 Turnos'!$A$2:$A$61,0)),"")</f>
        <v/>
      </c>
      <c r="X36" t="str">
        <f t="shared" si="9"/>
        <v/>
      </c>
      <c r="Y36" t="str">
        <f t="shared" si="10"/>
        <v/>
      </c>
      <c r="Z36" t="str">
        <f t="shared" si="11"/>
        <v/>
      </c>
      <c r="AA36" t="str">
        <f t="shared" si="12"/>
        <v/>
      </c>
      <c r="AB36" t="str">
        <f t="shared" si="13"/>
        <v/>
      </c>
      <c r="AC36" t="str">
        <f t="shared" si="14"/>
        <v/>
      </c>
      <c r="AD36" t="str">
        <f>IFERROR(INDEX(Listas!$Z$2:$Z$3,MATCH(M36,Listas!$Y$2:$Y$3,0)),"")</f>
        <v/>
      </c>
      <c r="AE36" t="str">
        <f t="shared" si="15"/>
        <v/>
      </c>
      <c r="AF36" t="str">
        <f t="shared" si="16"/>
        <v/>
      </c>
      <c r="AG36" t="str">
        <f t="shared" si="17"/>
        <v/>
      </c>
    </row>
    <row r="37" spans="7:33" x14ac:dyDescent="0.35">
      <c r="G37" s="15"/>
      <c r="H37" s="15"/>
      <c r="R37" t="str">
        <f>IFERROR(INDEX('1.11 Turmas'!$B$2:$B$61,MATCH(A37,'1.11 Turmas'!$A$2:$A$61,0)),"")</f>
        <v/>
      </c>
      <c r="S37" t="str">
        <f>IFERROR(INDEX('2.2 Disciplinas'!$B$2:$B$61,MATCH(B37,'2.2 Disciplinas'!$A$2:$A$61,0)),"")</f>
        <v/>
      </c>
      <c r="T37" t="str">
        <f>IFERROR(INDEX('2.4 Curriculos'!$C$2:$C$61,MATCH(C37,'2.4 Curriculos'!$B$2:$B$61,0)),"")</f>
        <v/>
      </c>
      <c r="U37" t="str">
        <f>IFERROR(INDEX('2.1 Cursos'!$B$2:$B$61,MATCH(D37,'2.1 Cursos'!$A$2:$A$61,0)),"")</f>
        <v/>
      </c>
      <c r="V37" t="str">
        <f>IFERROR(INDEX('2.3 Periodos'!$B$2:$B$61,MATCH(E37,'2.3 Periodos'!$A$2:$A$61,0)),"")</f>
        <v/>
      </c>
      <c r="W37" t="str">
        <f>IFERROR(INDEX('1.4 Turnos'!$B$2:$B$61,MATCH(F37,'1.4 Turnos'!$A$2:$A$61,0)),"")</f>
        <v/>
      </c>
      <c r="X37" t="str">
        <f t="shared" si="9"/>
        <v/>
      </c>
      <c r="Y37" t="str">
        <f t="shared" si="10"/>
        <v/>
      </c>
      <c r="Z37" t="str">
        <f t="shared" si="11"/>
        <v/>
      </c>
      <c r="AA37" t="str">
        <f t="shared" si="12"/>
        <v/>
      </c>
      <c r="AB37" t="str">
        <f t="shared" si="13"/>
        <v/>
      </c>
      <c r="AC37" t="str">
        <f t="shared" si="14"/>
        <v/>
      </c>
      <c r="AD37" t="str">
        <f>IFERROR(INDEX(Listas!$Z$2:$Z$3,MATCH(M37,Listas!$Y$2:$Y$3,0)),"")</f>
        <v/>
      </c>
      <c r="AE37" t="str">
        <f t="shared" si="15"/>
        <v/>
      </c>
      <c r="AF37" t="str">
        <f t="shared" si="16"/>
        <v/>
      </c>
      <c r="AG37" t="str">
        <f t="shared" si="17"/>
        <v/>
      </c>
    </row>
    <row r="38" spans="7:33" x14ac:dyDescent="0.35">
      <c r="G38" s="15"/>
      <c r="H38" s="15"/>
      <c r="R38" t="str">
        <f>IFERROR(INDEX('1.11 Turmas'!$B$2:$B$61,MATCH(A38,'1.11 Turmas'!$A$2:$A$61,0)),"")</f>
        <v/>
      </c>
      <c r="S38" t="str">
        <f>IFERROR(INDEX('2.2 Disciplinas'!$B$2:$B$61,MATCH(B38,'2.2 Disciplinas'!$A$2:$A$61,0)),"")</f>
        <v/>
      </c>
      <c r="T38" t="str">
        <f>IFERROR(INDEX('2.4 Curriculos'!$C$2:$C$61,MATCH(C38,'2.4 Curriculos'!$B$2:$B$61,0)),"")</f>
        <v/>
      </c>
      <c r="U38" t="str">
        <f>IFERROR(INDEX('2.1 Cursos'!$B$2:$B$61,MATCH(D38,'2.1 Cursos'!$A$2:$A$61,0)),"")</f>
        <v/>
      </c>
      <c r="V38" t="str">
        <f>IFERROR(INDEX('2.3 Periodos'!$B$2:$B$61,MATCH(E38,'2.3 Periodos'!$A$2:$A$61,0)),"")</f>
        <v/>
      </c>
      <c r="W38" t="str">
        <f>IFERROR(INDEX('1.4 Turnos'!$B$2:$B$61,MATCH(F38,'1.4 Turnos'!$A$2:$A$61,0)),"")</f>
        <v/>
      </c>
      <c r="X38" t="str">
        <f t="shared" si="9"/>
        <v/>
      </c>
      <c r="Y38" t="str">
        <f t="shared" si="10"/>
        <v/>
      </c>
      <c r="Z38" t="str">
        <f t="shared" si="11"/>
        <v/>
      </c>
      <c r="AA38" t="str">
        <f t="shared" si="12"/>
        <v/>
      </c>
      <c r="AB38" t="str">
        <f t="shared" si="13"/>
        <v/>
      </c>
      <c r="AC38" t="str">
        <f t="shared" si="14"/>
        <v/>
      </c>
      <c r="AD38" t="str">
        <f>IFERROR(INDEX(Listas!$Z$2:$Z$3,MATCH(M38,Listas!$Y$2:$Y$3,0)),"")</f>
        <v/>
      </c>
      <c r="AE38" t="str">
        <f t="shared" si="15"/>
        <v/>
      </c>
      <c r="AF38" t="str">
        <f t="shared" si="16"/>
        <v/>
      </c>
      <c r="AG38" t="str">
        <f t="shared" si="17"/>
        <v/>
      </c>
    </row>
    <row r="39" spans="7:33" x14ac:dyDescent="0.35">
      <c r="G39" s="15"/>
      <c r="H39" s="15"/>
      <c r="R39" t="str">
        <f>IFERROR(INDEX('1.11 Turmas'!$B$2:$B$61,MATCH(A39,'1.11 Turmas'!$A$2:$A$61,0)),"")</f>
        <v/>
      </c>
      <c r="S39" t="str">
        <f>IFERROR(INDEX('2.2 Disciplinas'!$B$2:$B$61,MATCH(B39,'2.2 Disciplinas'!$A$2:$A$61,0)),"")</f>
        <v/>
      </c>
      <c r="T39" t="str">
        <f>IFERROR(INDEX('2.4 Curriculos'!$C$2:$C$61,MATCH(C39,'2.4 Curriculos'!$B$2:$B$61,0)),"")</f>
        <v/>
      </c>
      <c r="U39" t="str">
        <f>IFERROR(INDEX('2.1 Cursos'!$B$2:$B$61,MATCH(D39,'2.1 Cursos'!$A$2:$A$61,0)),"")</f>
        <v/>
      </c>
      <c r="V39" t="str">
        <f>IFERROR(INDEX('2.3 Periodos'!$B$2:$B$61,MATCH(E39,'2.3 Periodos'!$A$2:$A$61,0)),"")</f>
        <v/>
      </c>
      <c r="W39" t="str">
        <f>IFERROR(INDEX('1.4 Turnos'!$B$2:$B$61,MATCH(F39,'1.4 Turnos'!$A$2:$A$61,0)),"")</f>
        <v/>
      </c>
      <c r="X39" t="str">
        <f t="shared" si="9"/>
        <v/>
      </c>
      <c r="Y39" t="str">
        <f t="shared" si="10"/>
        <v/>
      </c>
      <c r="Z39" t="str">
        <f t="shared" si="11"/>
        <v/>
      </c>
      <c r="AA39" t="str">
        <f t="shared" si="12"/>
        <v/>
      </c>
      <c r="AB39" t="str">
        <f t="shared" si="13"/>
        <v/>
      </c>
      <c r="AC39" t="str">
        <f t="shared" si="14"/>
        <v/>
      </c>
      <c r="AD39" t="str">
        <f>IFERROR(INDEX(Listas!$Z$2:$Z$3,MATCH(M39,Listas!$Y$2:$Y$3,0)),"")</f>
        <v/>
      </c>
      <c r="AE39" t="str">
        <f t="shared" si="15"/>
        <v/>
      </c>
      <c r="AF39" t="str">
        <f t="shared" si="16"/>
        <v/>
      </c>
      <c r="AG39" t="str">
        <f t="shared" si="17"/>
        <v/>
      </c>
    </row>
    <row r="40" spans="7:33" x14ac:dyDescent="0.35">
      <c r="G40" s="15"/>
      <c r="H40" s="15"/>
      <c r="R40" t="str">
        <f>IFERROR(INDEX('1.11 Turmas'!$B$2:$B$61,MATCH(A40,'1.11 Turmas'!$A$2:$A$61,0)),"")</f>
        <v/>
      </c>
      <c r="S40" t="str">
        <f>IFERROR(INDEX('2.2 Disciplinas'!$B$2:$B$61,MATCH(B40,'2.2 Disciplinas'!$A$2:$A$61,0)),"")</f>
        <v/>
      </c>
      <c r="T40" t="str">
        <f>IFERROR(INDEX('2.4 Curriculos'!$C$2:$C$61,MATCH(C40,'2.4 Curriculos'!$B$2:$B$61,0)),"")</f>
        <v/>
      </c>
      <c r="U40" t="str">
        <f>IFERROR(INDEX('2.1 Cursos'!$B$2:$B$61,MATCH(D40,'2.1 Cursos'!$A$2:$A$61,0)),"")</f>
        <v/>
      </c>
      <c r="V40" t="str">
        <f>IFERROR(INDEX('2.3 Periodos'!$B$2:$B$61,MATCH(E40,'2.3 Periodos'!$A$2:$A$61,0)),"")</f>
        <v/>
      </c>
      <c r="W40" t="str">
        <f>IFERROR(INDEX('1.4 Turnos'!$B$2:$B$61,MATCH(F40,'1.4 Turnos'!$A$2:$A$61,0)),"")</f>
        <v/>
      </c>
      <c r="X40" t="str">
        <f t="shared" si="9"/>
        <v/>
      </c>
      <c r="Y40" t="str">
        <f t="shared" si="10"/>
        <v/>
      </c>
      <c r="Z40" t="str">
        <f t="shared" si="11"/>
        <v/>
      </c>
      <c r="AA40" t="str">
        <f t="shared" si="12"/>
        <v/>
      </c>
      <c r="AB40" t="str">
        <f t="shared" si="13"/>
        <v/>
      </c>
      <c r="AC40" t="str">
        <f t="shared" si="14"/>
        <v/>
      </c>
      <c r="AD40" t="str">
        <f>IFERROR(INDEX(Listas!$Z$2:$Z$3,MATCH(M40,Listas!$Y$2:$Y$3,0)),"")</f>
        <v/>
      </c>
      <c r="AE40" t="str">
        <f t="shared" si="15"/>
        <v/>
      </c>
      <c r="AF40" t="str">
        <f t="shared" si="16"/>
        <v/>
      </c>
      <c r="AG40" t="str">
        <f t="shared" si="17"/>
        <v/>
      </c>
    </row>
    <row r="41" spans="7:33" x14ac:dyDescent="0.35">
      <c r="G41" s="15"/>
      <c r="H41" s="15"/>
      <c r="R41" t="str">
        <f>IFERROR(INDEX('1.11 Turmas'!$B$2:$B$61,MATCH(A41,'1.11 Turmas'!$A$2:$A$61,0)),"")</f>
        <v/>
      </c>
      <c r="S41" t="str">
        <f>IFERROR(INDEX('2.2 Disciplinas'!$B$2:$B$61,MATCH(B41,'2.2 Disciplinas'!$A$2:$A$61,0)),"")</f>
        <v/>
      </c>
      <c r="T41" t="str">
        <f>IFERROR(INDEX('2.4 Curriculos'!$C$2:$C$61,MATCH(C41,'2.4 Curriculos'!$B$2:$B$61,0)),"")</f>
        <v/>
      </c>
      <c r="U41" t="str">
        <f>IFERROR(INDEX('2.1 Cursos'!$B$2:$B$61,MATCH(D41,'2.1 Cursos'!$A$2:$A$61,0)),"")</f>
        <v/>
      </c>
      <c r="V41" t="str">
        <f>IFERROR(INDEX('2.3 Periodos'!$B$2:$B$61,MATCH(E41,'2.3 Periodos'!$A$2:$A$61,0)),"")</f>
        <v/>
      </c>
      <c r="W41" t="str">
        <f>IFERROR(INDEX('1.4 Turnos'!$B$2:$B$61,MATCH(F41,'1.4 Turnos'!$A$2:$A$61,0)),"")</f>
        <v/>
      </c>
      <c r="X41" t="str">
        <f t="shared" si="9"/>
        <v/>
      </c>
      <c r="Y41" t="str">
        <f t="shared" si="10"/>
        <v/>
      </c>
      <c r="Z41" t="str">
        <f t="shared" si="11"/>
        <v/>
      </c>
      <c r="AA41" t="str">
        <f t="shared" si="12"/>
        <v/>
      </c>
      <c r="AB41" t="str">
        <f t="shared" si="13"/>
        <v/>
      </c>
      <c r="AC41" t="str">
        <f t="shared" si="14"/>
        <v/>
      </c>
      <c r="AD41" t="str">
        <f>IFERROR(INDEX(Listas!$Z$2:$Z$3,MATCH(M41,Listas!$Y$2:$Y$3,0)),"")</f>
        <v/>
      </c>
      <c r="AE41" t="str">
        <f t="shared" si="15"/>
        <v/>
      </c>
      <c r="AF41" t="str">
        <f t="shared" si="16"/>
        <v/>
      </c>
      <c r="AG41" t="str">
        <f t="shared" si="17"/>
        <v/>
      </c>
    </row>
    <row r="42" spans="7:33" x14ac:dyDescent="0.35">
      <c r="G42" s="15"/>
      <c r="H42" s="15"/>
      <c r="R42" t="str">
        <f>IFERROR(INDEX('1.11 Turmas'!$B$2:$B$61,MATCH(A42,'1.11 Turmas'!$A$2:$A$61,0)),"")</f>
        <v/>
      </c>
      <c r="S42" t="str">
        <f>IFERROR(INDEX('2.2 Disciplinas'!$B$2:$B$61,MATCH(B42,'2.2 Disciplinas'!$A$2:$A$61,0)),"")</f>
        <v/>
      </c>
      <c r="T42" t="str">
        <f>IFERROR(INDEX('2.4 Curriculos'!$C$2:$C$61,MATCH(C42,'2.4 Curriculos'!$B$2:$B$61,0)),"")</f>
        <v/>
      </c>
      <c r="U42" t="str">
        <f>IFERROR(INDEX('2.1 Cursos'!$B$2:$B$61,MATCH(D42,'2.1 Cursos'!$A$2:$A$61,0)),"")</f>
        <v/>
      </c>
      <c r="V42" t="str">
        <f>IFERROR(INDEX('2.3 Periodos'!$B$2:$B$61,MATCH(E42,'2.3 Periodos'!$A$2:$A$61,0)),"")</f>
        <v/>
      </c>
      <c r="W42" t="str">
        <f>IFERROR(INDEX('1.4 Turnos'!$B$2:$B$61,MATCH(F42,'1.4 Turnos'!$A$2:$A$61,0)),"")</f>
        <v/>
      </c>
      <c r="X42" t="str">
        <f t="shared" si="9"/>
        <v/>
      </c>
      <c r="Y42" t="str">
        <f t="shared" si="10"/>
        <v/>
      </c>
      <c r="Z42" t="str">
        <f t="shared" si="11"/>
        <v/>
      </c>
      <c r="AA42" t="str">
        <f t="shared" si="12"/>
        <v/>
      </c>
      <c r="AB42" t="str">
        <f t="shared" si="13"/>
        <v/>
      </c>
      <c r="AC42" t="str">
        <f t="shared" si="14"/>
        <v/>
      </c>
      <c r="AD42" t="str">
        <f>IFERROR(INDEX(Listas!$Z$2:$Z$3,MATCH(M42,Listas!$Y$2:$Y$3,0)),"")</f>
        <v/>
      </c>
      <c r="AE42" t="str">
        <f t="shared" si="15"/>
        <v/>
      </c>
      <c r="AF42" t="str">
        <f t="shared" si="16"/>
        <v/>
      </c>
      <c r="AG42" t="str">
        <f t="shared" si="17"/>
        <v/>
      </c>
    </row>
    <row r="43" spans="7:33" x14ac:dyDescent="0.35">
      <c r="G43" s="15"/>
      <c r="H43" s="15"/>
      <c r="R43" t="str">
        <f>IFERROR(INDEX('1.11 Turmas'!$B$2:$B$61,MATCH(A43,'1.11 Turmas'!$A$2:$A$61,0)),"")</f>
        <v/>
      </c>
      <c r="S43" t="str">
        <f>IFERROR(INDEX('2.2 Disciplinas'!$B$2:$B$61,MATCH(B43,'2.2 Disciplinas'!$A$2:$A$61,0)),"")</f>
        <v/>
      </c>
      <c r="T43" t="str">
        <f>IFERROR(INDEX('2.4 Curriculos'!$C$2:$C$61,MATCH(C43,'2.4 Curriculos'!$B$2:$B$61,0)),"")</f>
        <v/>
      </c>
      <c r="U43" t="str">
        <f>IFERROR(INDEX('2.1 Cursos'!$B$2:$B$61,MATCH(D43,'2.1 Cursos'!$A$2:$A$61,0)),"")</f>
        <v/>
      </c>
      <c r="V43" t="str">
        <f>IFERROR(INDEX('2.3 Periodos'!$B$2:$B$61,MATCH(E43,'2.3 Periodos'!$A$2:$A$61,0)),"")</f>
        <v/>
      </c>
      <c r="W43" t="str">
        <f>IFERROR(INDEX('1.4 Turnos'!$B$2:$B$61,MATCH(F43,'1.4 Turnos'!$A$2:$A$61,0)),"")</f>
        <v/>
      </c>
      <c r="X43" t="str">
        <f t="shared" si="9"/>
        <v/>
      </c>
      <c r="Y43" t="str">
        <f t="shared" si="10"/>
        <v/>
      </c>
      <c r="Z43" t="str">
        <f t="shared" si="11"/>
        <v/>
      </c>
      <c r="AA43" t="str">
        <f t="shared" si="12"/>
        <v/>
      </c>
      <c r="AB43" t="str">
        <f t="shared" si="13"/>
        <v/>
      </c>
      <c r="AC43" t="str">
        <f t="shared" si="14"/>
        <v/>
      </c>
      <c r="AD43" t="str">
        <f>IFERROR(INDEX(Listas!$Z$2:$Z$3,MATCH(M43,Listas!$Y$2:$Y$3,0)),"")</f>
        <v/>
      </c>
      <c r="AE43" t="str">
        <f t="shared" si="15"/>
        <v/>
      </c>
      <c r="AF43" t="str">
        <f t="shared" si="16"/>
        <v/>
      </c>
      <c r="AG43" t="str">
        <f t="shared" si="17"/>
        <v/>
      </c>
    </row>
    <row r="44" spans="7:33" x14ac:dyDescent="0.35">
      <c r="G44" s="15"/>
      <c r="H44" s="15"/>
      <c r="R44" t="str">
        <f>IFERROR(INDEX('1.11 Turmas'!$B$2:$B$61,MATCH(A44,'1.11 Turmas'!$A$2:$A$61,0)),"")</f>
        <v/>
      </c>
      <c r="S44" t="str">
        <f>IFERROR(INDEX('2.2 Disciplinas'!$B$2:$B$61,MATCH(B44,'2.2 Disciplinas'!$A$2:$A$61,0)),"")</f>
        <v/>
      </c>
      <c r="T44" t="str">
        <f>IFERROR(INDEX('2.4 Curriculos'!$C$2:$C$61,MATCH(C44,'2.4 Curriculos'!$B$2:$B$61,0)),"")</f>
        <v/>
      </c>
      <c r="U44" t="str">
        <f>IFERROR(INDEX('2.1 Cursos'!$B$2:$B$61,MATCH(D44,'2.1 Cursos'!$A$2:$A$61,0)),"")</f>
        <v/>
      </c>
      <c r="V44" t="str">
        <f>IFERROR(INDEX('2.3 Periodos'!$B$2:$B$61,MATCH(E44,'2.3 Periodos'!$A$2:$A$61,0)),"")</f>
        <v/>
      </c>
      <c r="W44" t="str">
        <f>IFERROR(INDEX('1.4 Turnos'!$B$2:$B$61,MATCH(F44,'1.4 Turnos'!$A$2:$A$61,0)),"")</f>
        <v/>
      </c>
      <c r="X44" t="str">
        <f t="shared" si="9"/>
        <v/>
      </c>
      <c r="Y44" t="str">
        <f t="shared" si="10"/>
        <v/>
      </c>
      <c r="Z44" t="str">
        <f t="shared" si="11"/>
        <v/>
      </c>
      <c r="AA44" t="str">
        <f t="shared" si="12"/>
        <v/>
      </c>
      <c r="AB44" t="str">
        <f t="shared" si="13"/>
        <v/>
      </c>
      <c r="AC44" t="str">
        <f t="shared" si="14"/>
        <v/>
      </c>
      <c r="AD44" t="str">
        <f>IFERROR(INDEX(Listas!$Z$2:$Z$3,MATCH(M44,Listas!$Y$2:$Y$3,0)),"")</f>
        <v/>
      </c>
      <c r="AE44" t="str">
        <f t="shared" si="15"/>
        <v/>
      </c>
      <c r="AF44" t="str">
        <f t="shared" si="16"/>
        <v/>
      </c>
      <c r="AG44" t="str">
        <f t="shared" si="17"/>
        <v/>
      </c>
    </row>
    <row r="45" spans="7:33" x14ac:dyDescent="0.35">
      <c r="G45" s="15"/>
      <c r="H45" s="15"/>
      <c r="R45" t="str">
        <f>IFERROR(INDEX('1.11 Turmas'!$B$2:$B$61,MATCH(A45,'1.11 Turmas'!$A$2:$A$61,0)),"")</f>
        <v/>
      </c>
      <c r="S45" t="str">
        <f>IFERROR(INDEX('2.2 Disciplinas'!$B$2:$B$61,MATCH(B45,'2.2 Disciplinas'!$A$2:$A$61,0)),"")</f>
        <v/>
      </c>
      <c r="T45" t="str">
        <f>IFERROR(INDEX('2.4 Curriculos'!$C$2:$C$61,MATCH(C45,'2.4 Curriculos'!$B$2:$B$61,0)),"")</f>
        <v/>
      </c>
      <c r="U45" t="str">
        <f>IFERROR(INDEX('2.1 Cursos'!$B$2:$B$61,MATCH(D45,'2.1 Cursos'!$A$2:$A$61,0)),"")</f>
        <v/>
      </c>
      <c r="V45" t="str">
        <f>IFERROR(INDEX('2.3 Periodos'!$B$2:$B$61,MATCH(E45,'2.3 Periodos'!$A$2:$A$61,0)),"")</f>
        <v/>
      </c>
      <c r="W45" t="str">
        <f>IFERROR(INDEX('1.4 Turnos'!$B$2:$B$61,MATCH(F45,'1.4 Turnos'!$A$2:$A$61,0)),"")</f>
        <v/>
      </c>
      <c r="X45" t="str">
        <f t="shared" si="9"/>
        <v/>
      </c>
      <c r="Y45" t="str">
        <f t="shared" si="10"/>
        <v/>
      </c>
      <c r="Z45" t="str">
        <f t="shared" si="11"/>
        <v/>
      </c>
      <c r="AA45" t="str">
        <f t="shared" si="12"/>
        <v/>
      </c>
      <c r="AB45" t="str">
        <f t="shared" si="13"/>
        <v/>
      </c>
      <c r="AC45" t="str">
        <f t="shared" si="14"/>
        <v/>
      </c>
      <c r="AD45" t="str">
        <f>IFERROR(INDEX(Listas!$Z$2:$Z$3,MATCH(M45,Listas!$Y$2:$Y$3,0)),"")</f>
        <v/>
      </c>
      <c r="AE45" t="str">
        <f t="shared" si="15"/>
        <v/>
      </c>
      <c r="AF45" t="str">
        <f t="shared" si="16"/>
        <v/>
      </c>
      <c r="AG45" t="str">
        <f t="shared" si="17"/>
        <v/>
      </c>
    </row>
    <row r="46" spans="7:33" x14ac:dyDescent="0.35">
      <c r="G46" s="15"/>
      <c r="H46" s="15"/>
      <c r="R46" t="str">
        <f>IFERROR(INDEX('1.11 Turmas'!$B$2:$B$61,MATCH(A46,'1.11 Turmas'!$A$2:$A$61,0)),"")</f>
        <v/>
      </c>
      <c r="S46" t="str">
        <f>IFERROR(INDEX('2.2 Disciplinas'!$B$2:$B$61,MATCH(B46,'2.2 Disciplinas'!$A$2:$A$61,0)),"")</f>
        <v/>
      </c>
      <c r="T46" t="str">
        <f>IFERROR(INDEX('2.4 Curriculos'!$C$2:$C$61,MATCH(C46,'2.4 Curriculos'!$B$2:$B$61,0)),"")</f>
        <v/>
      </c>
      <c r="U46" t="str">
        <f>IFERROR(INDEX('2.1 Cursos'!$B$2:$B$61,MATCH(D46,'2.1 Cursos'!$A$2:$A$61,0)),"")</f>
        <v/>
      </c>
      <c r="V46" t="str">
        <f>IFERROR(INDEX('2.3 Periodos'!$B$2:$B$61,MATCH(E46,'2.3 Periodos'!$A$2:$A$61,0)),"")</f>
        <v/>
      </c>
      <c r="W46" t="str">
        <f>IFERROR(INDEX('1.4 Turnos'!$B$2:$B$61,MATCH(F46,'1.4 Turnos'!$A$2:$A$61,0)),"")</f>
        <v/>
      </c>
      <c r="X46" t="str">
        <f t="shared" si="9"/>
        <v/>
      </c>
      <c r="Y46" t="str">
        <f t="shared" si="10"/>
        <v/>
      </c>
      <c r="Z46" t="str">
        <f t="shared" si="11"/>
        <v/>
      </c>
      <c r="AA46" t="str">
        <f t="shared" si="12"/>
        <v/>
      </c>
      <c r="AB46" t="str">
        <f t="shared" si="13"/>
        <v/>
      </c>
      <c r="AC46" t="str">
        <f t="shared" si="14"/>
        <v/>
      </c>
      <c r="AD46" t="str">
        <f>IFERROR(INDEX(Listas!$Z$2:$Z$3,MATCH(M46,Listas!$Y$2:$Y$3,0)),"")</f>
        <v/>
      </c>
      <c r="AE46" t="str">
        <f t="shared" si="15"/>
        <v/>
      </c>
      <c r="AF46" t="str">
        <f t="shared" si="16"/>
        <v/>
      </c>
      <c r="AG46" t="str">
        <f t="shared" si="17"/>
        <v/>
      </c>
    </row>
    <row r="47" spans="7:33" x14ac:dyDescent="0.35">
      <c r="G47" s="15"/>
      <c r="H47" s="15"/>
      <c r="R47" t="str">
        <f>IFERROR(INDEX('1.11 Turmas'!$B$2:$B$61,MATCH(A47,'1.11 Turmas'!$A$2:$A$61,0)),"")</f>
        <v/>
      </c>
      <c r="S47" t="str">
        <f>IFERROR(INDEX('2.2 Disciplinas'!$B$2:$B$61,MATCH(B47,'2.2 Disciplinas'!$A$2:$A$61,0)),"")</f>
        <v/>
      </c>
      <c r="T47" t="str">
        <f>IFERROR(INDEX('2.4 Curriculos'!$C$2:$C$61,MATCH(C47,'2.4 Curriculos'!$B$2:$B$61,0)),"")</f>
        <v/>
      </c>
      <c r="U47" t="str">
        <f>IFERROR(INDEX('2.1 Cursos'!$B$2:$B$61,MATCH(D47,'2.1 Cursos'!$A$2:$A$61,0)),"")</f>
        <v/>
      </c>
      <c r="V47" t="str">
        <f>IFERROR(INDEX('2.3 Periodos'!$B$2:$B$61,MATCH(E47,'2.3 Periodos'!$A$2:$A$61,0)),"")</f>
        <v/>
      </c>
      <c r="W47" t="str">
        <f>IFERROR(INDEX('1.4 Turnos'!$B$2:$B$61,MATCH(F47,'1.4 Turnos'!$A$2:$A$61,0)),"")</f>
        <v/>
      </c>
      <c r="X47" t="str">
        <f t="shared" si="9"/>
        <v/>
      </c>
      <c r="Y47" t="str">
        <f t="shared" si="10"/>
        <v/>
      </c>
      <c r="Z47" t="str">
        <f t="shared" si="11"/>
        <v/>
      </c>
      <c r="AA47" t="str">
        <f t="shared" si="12"/>
        <v/>
      </c>
      <c r="AB47" t="str">
        <f t="shared" si="13"/>
        <v/>
      </c>
      <c r="AC47" t="str">
        <f t="shared" si="14"/>
        <v/>
      </c>
      <c r="AD47" t="str">
        <f>IFERROR(INDEX(Listas!$Z$2:$Z$3,MATCH(M47,Listas!$Y$2:$Y$3,0)),"")</f>
        <v/>
      </c>
      <c r="AE47" t="str">
        <f t="shared" si="15"/>
        <v/>
      </c>
      <c r="AF47" t="str">
        <f t="shared" si="16"/>
        <v/>
      </c>
      <c r="AG47" t="str">
        <f t="shared" si="17"/>
        <v/>
      </c>
    </row>
    <row r="48" spans="7:33" x14ac:dyDescent="0.35">
      <c r="G48" s="15"/>
      <c r="H48" s="15"/>
      <c r="R48" t="str">
        <f>IFERROR(INDEX('1.11 Turmas'!$B$2:$B$61,MATCH(A48,'1.11 Turmas'!$A$2:$A$61,0)),"")</f>
        <v/>
      </c>
      <c r="S48" t="str">
        <f>IFERROR(INDEX('2.2 Disciplinas'!$B$2:$B$61,MATCH(B48,'2.2 Disciplinas'!$A$2:$A$61,0)),"")</f>
        <v/>
      </c>
      <c r="T48" t="str">
        <f>IFERROR(INDEX('2.4 Curriculos'!$C$2:$C$61,MATCH(C48,'2.4 Curriculos'!$B$2:$B$61,0)),"")</f>
        <v/>
      </c>
      <c r="U48" t="str">
        <f>IFERROR(INDEX('2.1 Cursos'!$B$2:$B$61,MATCH(D48,'2.1 Cursos'!$A$2:$A$61,0)),"")</f>
        <v/>
      </c>
      <c r="V48" t="str">
        <f>IFERROR(INDEX('2.3 Periodos'!$B$2:$B$61,MATCH(E48,'2.3 Periodos'!$A$2:$A$61,0)),"")</f>
        <v/>
      </c>
      <c r="W48" t="str">
        <f>IFERROR(INDEX('1.4 Turnos'!$B$2:$B$61,MATCH(F48,'1.4 Turnos'!$A$2:$A$61,0)),"")</f>
        <v/>
      </c>
      <c r="X48" t="str">
        <f t="shared" si="9"/>
        <v/>
      </c>
      <c r="Y48" t="str">
        <f t="shared" si="10"/>
        <v/>
      </c>
      <c r="Z48" t="str">
        <f t="shared" si="11"/>
        <v/>
      </c>
      <c r="AA48" t="str">
        <f t="shared" si="12"/>
        <v/>
      </c>
      <c r="AB48" t="str">
        <f t="shared" si="13"/>
        <v/>
      </c>
      <c r="AC48" t="str">
        <f t="shared" si="14"/>
        <v/>
      </c>
      <c r="AD48" t="str">
        <f>IFERROR(INDEX(Listas!$Z$2:$Z$3,MATCH(M48,Listas!$Y$2:$Y$3,0)),"")</f>
        <v/>
      </c>
      <c r="AE48" t="str">
        <f t="shared" si="15"/>
        <v/>
      </c>
      <c r="AF48" t="str">
        <f t="shared" si="16"/>
        <v/>
      </c>
      <c r="AG48" t="str">
        <f t="shared" si="17"/>
        <v/>
      </c>
    </row>
    <row r="49" spans="7:33" x14ac:dyDescent="0.35">
      <c r="G49" s="15"/>
      <c r="H49" s="15"/>
      <c r="R49" t="str">
        <f>IFERROR(INDEX('1.11 Turmas'!$B$2:$B$61,MATCH(A49,'1.11 Turmas'!$A$2:$A$61,0)),"")</f>
        <v/>
      </c>
      <c r="S49" t="str">
        <f>IFERROR(INDEX('2.2 Disciplinas'!$B$2:$B$61,MATCH(B49,'2.2 Disciplinas'!$A$2:$A$61,0)),"")</f>
        <v/>
      </c>
      <c r="T49" t="str">
        <f>IFERROR(INDEX('2.4 Curriculos'!$C$2:$C$61,MATCH(C49,'2.4 Curriculos'!$B$2:$B$61,0)),"")</f>
        <v/>
      </c>
      <c r="U49" t="str">
        <f>IFERROR(INDEX('2.1 Cursos'!$B$2:$B$61,MATCH(D49,'2.1 Cursos'!$A$2:$A$61,0)),"")</f>
        <v/>
      </c>
      <c r="V49" t="str">
        <f>IFERROR(INDEX('2.3 Periodos'!$B$2:$B$61,MATCH(E49,'2.3 Periodos'!$A$2:$A$61,0)),"")</f>
        <v/>
      </c>
      <c r="W49" t="str">
        <f>IFERROR(INDEX('1.4 Turnos'!$B$2:$B$61,MATCH(F49,'1.4 Turnos'!$A$2:$A$61,0)),"")</f>
        <v/>
      </c>
      <c r="X49" t="str">
        <f t="shared" si="9"/>
        <v/>
      </c>
      <c r="Y49" t="str">
        <f t="shared" si="10"/>
        <v/>
      </c>
      <c r="Z49" t="str">
        <f t="shared" si="11"/>
        <v/>
      </c>
      <c r="AA49" t="str">
        <f t="shared" si="12"/>
        <v/>
      </c>
      <c r="AB49" t="str">
        <f t="shared" si="13"/>
        <v/>
      </c>
      <c r="AC49" t="str">
        <f t="shared" si="14"/>
        <v/>
      </c>
      <c r="AD49" t="str">
        <f>IFERROR(INDEX(Listas!$Z$2:$Z$3,MATCH(M49,Listas!$Y$2:$Y$3,0)),"")</f>
        <v/>
      </c>
      <c r="AE49" t="str">
        <f t="shared" si="15"/>
        <v/>
      </c>
      <c r="AF49" t="str">
        <f t="shared" si="16"/>
        <v/>
      </c>
      <c r="AG49" t="str">
        <f t="shared" si="17"/>
        <v/>
      </c>
    </row>
    <row r="50" spans="7:33" x14ac:dyDescent="0.35">
      <c r="G50" s="15"/>
      <c r="H50" s="15"/>
      <c r="R50" t="str">
        <f>IFERROR(INDEX('1.11 Turmas'!$B$2:$B$61,MATCH(A50,'1.11 Turmas'!$A$2:$A$61,0)),"")</f>
        <v/>
      </c>
      <c r="S50" t="str">
        <f>IFERROR(INDEX('2.2 Disciplinas'!$B$2:$B$61,MATCH(B50,'2.2 Disciplinas'!$A$2:$A$61,0)),"")</f>
        <v/>
      </c>
      <c r="T50" t="str">
        <f>IFERROR(INDEX('2.4 Curriculos'!$C$2:$C$61,MATCH(C50,'2.4 Curriculos'!$B$2:$B$61,0)),"")</f>
        <v/>
      </c>
      <c r="U50" t="str">
        <f>IFERROR(INDEX('2.1 Cursos'!$B$2:$B$61,MATCH(D50,'2.1 Cursos'!$A$2:$A$61,0)),"")</f>
        <v/>
      </c>
      <c r="V50" t="str">
        <f>IFERROR(INDEX('2.3 Periodos'!$B$2:$B$61,MATCH(E50,'2.3 Periodos'!$A$2:$A$61,0)),"")</f>
        <v/>
      </c>
      <c r="W50" t="str">
        <f>IFERROR(INDEX('1.4 Turnos'!$B$2:$B$61,MATCH(F50,'1.4 Turnos'!$A$2:$A$61,0)),"")</f>
        <v/>
      </c>
      <c r="X50" t="str">
        <f t="shared" si="9"/>
        <v/>
      </c>
      <c r="Y50" t="str">
        <f t="shared" si="10"/>
        <v/>
      </c>
      <c r="Z50" t="str">
        <f t="shared" si="11"/>
        <v/>
      </c>
      <c r="AA50" t="str">
        <f t="shared" si="12"/>
        <v/>
      </c>
      <c r="AB50" t="str">
        <f t="shared" si="13"/>
        <v/>
      </c>
      <c r="AC50" t="str">
        <f t="shared" si="14"/>
        <v/>
      </c>
      <c r="AD50" t="str">
        <f>IFERROR(INDEX(Listas!$Z$2:$Z$3,MATCH(M50,Listas!$Y$2:$Y$3,0)),"")</f>
        <v/>
      </c>
      <c r="AE50" t="str">
        <f t="shared" si="15"/>
        <v/>
      </c>
      <c r="AF50" t="str">
        <f t="shared" si="16"/>
        <v/>
      </c>
      <c r="AG50" t="str">
        <f t="shared" si="17"/>
        <v/>
      </c>
    </row>
    <row r="51" spans="7:33" x14ac:dyDescent="0.35">
      <c r="G51" s="15"/>
      <c r="H51" s="15"/>
      <c r="R51" t="str">
        <f>IFERROR(INDEX('1.11 Turmas'!$B$2:$B$61,MATCH(A51,'1.11 Turmas'!$A$2:$A$61,0)),"")</f>
        <v/>
      </c>
      <c r="S51" t="str">
        <f>IFERROR(INDEX('2.2 Disciplinas'!$B$2:$B$61,MATCH(B51,'2.2 Disciplinas'!$A$2:$A$61,0)),"")</f>
        <v/>
      </c>
      <c r="T51" t="str">
        <f>IFERROR(INDEX('2.4 Curriculos'!$C$2:$C$61,MATCH(C51,'2.4 Curriculos'!$B$2:$B$61,0)),"")</f>
        <v/>
      </c>
      <c r="U51" t="str">
        <f>IFERROR(INDEX('2.1 Cursos'!$B$2:$B$61,MATCH(D51,'2.1 Cursos'!$A$2:$A$61,0)),"")</f>
        <v/>
      </c>
      <c r="V51" t="str">
        <f>IFERROR(INDEX('2.3 Periodos'!$B$2:$B$61,MATCH(E51,'2.3 Periodos'!$A$2:$A$61,0)),"")</f>
        <v/>
      </c>
      <c r="W51" t="str">
        <f>IFERROR(INDEX('1.4 Turnos'!$B$2:$B$61,MATCH(F51,'1.4 Turnos'!$A$2:$A$61,0)),"")</f>
        <v/>
      </c>
      <c r="X51" t="str">
        <f t="shared" si="9"/>
        <v/>
      </c>
      <c r="Y51" t="str">
        <f t="shared" si="10"/>
        <v/>
      </c>
      <c r="Z51" t="str">
        <f t="shared" si="11"/>
        <v/>
      </c>
      <c r="AA51" t="str">
        <f t="shared" si="12"/>
        <v/>
      </c>
      <c r="AB51" t="str">
        <f t="shared" si="13"/>
        <v/>
      </c>
      <c r="AC51" t="str">
        <f t="shared" si="14"/>
        <v/>
      </c>
      <c r="AD51" t="str">
        <f>IFERROR(INDEX(Listas!$Z$2:$Z$3,MATCH(M51,Listas!$Y$2:$Y$3,0)),"")</f>
        <v/>
      </c>
      <c r="AE51" t="str">
        <f t="shared" si="15"/>
        <v/>
      </c>
      <c r="AF51" t="str">
        <f t="shared" si="16"/>
        <v/>
      </c>
      <c r="AG51" t="str">
        <f t="shared" si="17"/>
        <v/>
      </c>
    </row>
    <row r="52" spans="7:33" x14ac:dyDescent="0.35">
      <c r="G52" s="15"/>
      <c r="H52" s="15"/>
      <c r="R52" t="str">
        <f>IFERROR(INDEX('1.11 Turmas'!$B$2:$B$61,MATCH(A52,'1.11 Turmas'!$A$2:$A$61,0)),"")</f>
        <v/>
      </c>
      <c r="S52" t="str">
        <f>IFERROR(INDEX('2.2 Disciplinas'!$B$2:$B$61,MATCH(B52,'2.2 Disciplinas'!$A$2:$A$61,0)),"")</f>
        <v/>
      </c>
      <c r="T52" t="str">
        <f>IFERROR(INDEX('2.4 Curriculos'!$C$2:$C$61,MATCH(C52,'2.4 Curriculos'!$B$2:$B$61,0)),"")</f>
        <v/>
      </c>
      <c r="U52" t="str">
        <f>IFERROR(INDEX('2.1 Cursos'!$B$2:$B$61,MATCH(D52,'2.1 Cursos'!$A$2:$A$61,0)),"")</f>
        <v/>
      </c>
      <c r="V52" t="str">
        <f>IFERROR(INDEX('2.3 Periodos'!$B$2:$B$61,MATCH(E52,'2.3 Periodos'!$A$2:$A$61,0)),"")</f>
        <v/>
      </c>
      <c r="W52" t="str">
        <f>IFERROR(INDEX('1.4 Turnos'!$B$2:$B$61,MATCH(F52,'1.4 Turnos'!$A$2:$A$61,0)),"")</f>
        <v/>
      </c>
      <c r="X52" t="str">
        <f t="shared" si="9"/>
        <v/>
      </c>
      <c r="Y52" t="str">
        <f t="shared" si="10"/>
        <v/>
      </c>
      <c r="Z52" t="str">
        <f t="shared" si="11"/>
        <v/>
      </c>
      <c r="AA52" t="str">
        <f t="shared" si="12"/>
        <v/>
      </c>
      <c r="AB52" t="str">
        <f t="shared" si="13"/>
        <v/>
      </c>
      <c r="AC52" t="str">
        <f t="shared" si="14"/>
        <v/>
      </c>
      <c r="AD52" t="str">
        <f>IFERROR(INDEX(Listas!$Z$2:$Z$3,MATCH(M52,Listas!$Y$2:$Y$3,0)),"")</f>
        <v/>
      </c>
      <c r="AE52" t="str">
        <f t="shared" si="15"/>
        <v/>
      </c>
      <c r="AF52" t="str">
        <f t="shared" si="16"/>
        <v/>
      </c>
      <c r="AG52" t="str">
        <f t="shared" si="17"/>
        <v/>
      </c>
    </row>
    <row r="53" spans="7:33" x14ac:dyDescent="0.35">
      <c r="G53" s="15"/>
      <c r="H53" s="15"/>
      <c r="R53" t="str">
        <f>IFERROR(INDEX('1.11 Turmas'!$B$2:$B$61,MATCH(A53,'1.11 Turmas'!$A$2:$A$61,0)),"")</f>
        <v/>
      </c>
      <c r="S53" t="str">
        <f>IFERROR(INDEX('2.2 Disciplinas'!$B$2:$B$61,MATCH(B53,'2.2 Disciplinas'!$A$2:$A$61,0)),"")</f>
        <v/>
      </c>
      <c r="T53" t="str">
        <f>IFERROR(INDEX('2.4 Curriculos'!$C$2:$C$61,MATCH(C53,'2.4 Curriculos'!$B$2:$B$61,0)),"")</f>
        <v/>
      </c>
      <c r="U53" t="str">
        <f>IFERROR(INDEX('2.1 Cursos'!$B$2:$B$61,MATCH(D53,'2.1 Cursos'!$A$2:$A$61,0)),"")</f>
        <v/>
      </c>
      <c r="V53" t="str">
        <f>IFERROR(INDEX('2.3 Periodos'!$B$2:$B$61,MATCH(E53,'2.3 Periodos'!$A$2:$A$61,0)),"")</f>
        <v/>
      </c>
      <c r="W53" t="str">
        <f>IFERROR(INDEX('1.4 Turnos'!$B$2:$B$61,MATCH(F53,'1.4 Turnos'!$A$2:$A$61,0)),"")</f>
        <v/>
      </c>
      <c r="X53" t="str">
        <f t="shared" si="9"/>
        <v/>
      </c>
      <c r="Y53" t="str">
        <f t="shared" si="10"/>
        <v/>
      </c>
      <c r="Z53" t="str">
        <f t="shared" si="11"/>
        <v/>
      </c>
      <c r="AA53" t="str">
        <f t="shared" si="12"/>
        <v/>
      </c>
      <c r="AB53" t="str">
        <f t="shared" si="13"/>
        <v/>
      </c>
      <c r="AC53" t="str">
        <f t="shared" si="14"/>
        <v/>
      </c>
      <c r="AD53" t="str">
        <f>IFERROR(INDEX(Listas!$Z$2:$Z$3,MATCH(M53,Listas!$Y$2:$Y$3,0)),"")</f>
        <v/>
      </c>
      <c r="AE53" t="str">
        <f t="shared" si="15"/>
        <v/>
      </c>
      <c r="AF53" t="str">
        <f t="shared" si="16"/>
        <v/>
      </c>
      <c r="AG53" t="str">
        <f t="shared" si="17"/>
        <v/>
      </c>
    </row>
    <row r="54" spans="7:33" x14ac:dyDescent="0.35">
      <c r="G54" s="15"/>
      <c r="H54" s="15"/>
      <c r="R54" t="str">
        <f>IFERROR(INDEX('1.11 Turmas'!$B$2:$B$61,MATCH(A54,'1.11 Turmas'!$A$2:$A$61,0)),"")</f>
        <v/>
      </c>
      <c r="S54" t="str">
        <f>IFERROR(INDEX('2.2 Disciplinas'!$B$2:$B$61,MATCH(B54,'2.2 Disciplinas'!$A$2:$A$61,0)),"")</f>
        <v/>
      </c>
      <c r="T54" t="str">
        <f>IFERROR(INDEX('2.4 Curriculos'!$C$2:$C$61,MATCH(C54,'2.4 Curriculos'!$B$2:$B$61,0)),"")</f>
        <v/>
      </c>
      <c r="U54" t="str">
        <f>IFERROR(INDEX('2.1 Cursos'!$B$2:$B$61,MATCH(D54,'2.1 Cursos'!$A$2:$A$61,0)),"")</f>
        <v/>
      </c>
      <c r="V54" t="str">
        <f>IFERROR(INDEX('2.3 Periodos'!$B$2:$B$61,MATCH(E54,'2.3 Periodos'!$A$2:$A$61,0)),"")</f>
        <v/>
      </c>
      <c r="W54" t="str">
        <f>IFERROR(INDEX('1.4 Turnos'!$B$2:$B$61,MATCH(F54,'1.4 Turnos'!$A$2:$A$61,0)),"")</f>
        <v/>
      </c>
      <c r="X54" t="str">
        <f t="shared" si="9"/>
        <v/>
      </c>
      <c r="Y54" t="str">
        <f t="shared" si="10"/>
        <v/>
      </c>
      <c r="Z54" t="str">
        <f t="shared" si="11"/>
        <v/>
      </c>
      <c r="AA54" t="str">
        <f t="shared" si="12"/>
        <v/>
      </c>
      <c r="AB54" t="str">
        <f t="shared" si="13"/>
        <v/>
      </c>
      <c r="AC54" t="str">
        <f t="shared" si="14"/>
        <v/>
      </c>
      <c r="AD54" t="str">
        <f>IFERROR(INDEX(Listas!$Z$2:$Z$3,MATCH(M54,Listas!$Y$2:$Y$3,0)),"")</f>
        <v/>
      </c>
      <c r="AE54" t="str">
        <f t="shared" si="15"/>
        <v/>
      </c>
      <c r="AF54" t="str">
        <f t="shared" si="16"/>
        <v/>
      </c>
      <c r="AG54" t="str">
        <f t="shared" si="17"/>
        <v/>
      </c>
    </row>
    <row r="55" spans="7:33" x14ac:dyDescent="0.35">
      <c r="G55" s="15"/>
      <c r="H55" s="15"/>
      <c r="R55" t="str">
        <f>IFERROR(INDEX('1.11 Turmas'!$B$2:$B$61,MATCH(A55,'1.11 Turmas'!$A$2:$A$61,0)),"")</f>
        <v/>
      </c>
      <c r="S55" t="str">
        <f>IFERROR(INDEX('2.2 Disciplinas'!$B$2:$B$61,MATCH(B55,'2.2 Disciplinas'!$A$2:$A$61,0)),"")</f>
        <v/>
      </c>
      <c r="T55" t="str">
        <f>IFERROR(INDEX('2.4 Curriculos'!$C$2:$C$61,MATCH(C55,'2.4 Curriculos'!$B$2:$B$61,0)),"")</f>
        <v/>
      </c>
      <c r="U55" t="str">
        <f>IFERROR(INDEX('2.1 Cursos'!$B$2:$B$61,MATCH(D55,'2.1 Cursos'!$A$2:$A$61,0)),"")</f>
        <v/>
      </c>
      <c r="V55" t="str">
        <f>IFERROR(INDEX('2.3 Periodos'!$B$2:$B$61,MATCH(E55,'2.3 Periodos'!$A$2:$A$61,0)),"")</f>
        <v/>
      </c>
      <c r="W55" t="str">
        <f>IFERROR(INDEX('1.4 Turnos'!$B$2:$B$61,MATCH(F55,'1.4 Turnos'!$A$2:$A$61,0)),"")</f>
        <v/>
      </c>
      <c r="X55" t="str">
        <f t="shared" si="9"/>
        <v/>
      </c>
      <c r="Y55" t="str">
        <f t="shared" si="10"/>
        <v/>
      </c>
      <c r="Z55" t="str">
        <f t="shared" si="11"/>
        <v/>
      </c>
      <c r="AA55" t="str">
        <f t="shared" si="12"/>
        <v/>
      </c>
      <c r="AB55" t="str">
        <f t="shared" si="13"/>
        <v/>
      </c>
      <c r="AC55" t="str">
        <f t="shared" si="14"/>
        <v/>
      </c>
      <c r="AD55" t="str">
        <f>IFERROR(INDEX(Listas!$Z$2:$Z$3,MATCH(M55,Listas!$Y$2:$Y$3,0)),"")</f>
        <v/>
      </c>
      <c r="AE55" t="str">
        <f t="shared" si="15"/>
        <v/>
      </c>
      <c r="AF55" t="str">
        <f t="shared" si="16"/>
        <v/>
      </c>
      <c r="AG55" t="str">
        <f t="shared" si="17"/>
        <v/>
      </c>
    </row>
    <row r="56" spans="7:33" x14ac:dyDescent="0.35">
      <c r="G56" s="15"/>
      <c r="H56" s="15"/>
      <c r="R56" t="str">
        <f>IFERROR(INDEX('1.11 Turmas'!$B$2:$B$61,MATCH(A56,'1.11 Turmas'!$A$2:$A$61,0)),"")</f>
        <v/>
      </c>
      <c r="S56" t="str">
        <f>IFERROR(INDEX('2.2 Disciplinas'!$B$2:$B$61,MATCH(B56,'2.2 Disciplinas'!$A$2:$A$61,0)),"")</f>
        <v/>
      </c>
      <c r="T56" t="str">
        <f>IFERROR(INDEX('2.4 Curriculos'!$C$2:$C$61,MATCH(C56,'2.4 Curriculos'!$B$2:$B$61,0)),"")</f>
        <v/>
      </c>
      <c r="U56" t="str">
        <f>IFERROR(INDEX('2.1 Cursos'!$B$2:$B$61,MATCH(D56,'2.1 Cursos'!$A$2:$A$61,0)),"")</f>
        <v/>
      </c>
      <c r="V56" t="str">
        <f>IFERROR(INDEX('2.3 Periodos'!$B$2:$B$61,MATCH(E56,'2.3 Periodos'!$A$2:$A$61,0)),"")</f>
        <v/>
      </c>
      <c r="W56" t="str">
        <f>IFERROR(INDEX('1.4 Turnos'!$B$2:$B$61,MATCH(F56,'1.4 Turnos'!$A$2:$A$61,0)),"")</f>
        <v/>
      </c>
      <c r="X56" t="str">
        <f t="shared" si="9"/>
        <v/>
      </c>
      <c r="Y56" t="str">
        <f t="shared" si="10"/>
        <v/>
      </c>
      <c r="Z56" t="str">
        <f t="shared" si="11"/>
        <v/>
      </c>
      <c r="AA56" t="str">
        <f t="shared" si="12"/>
        <v/>
      </c>
      <c r="AB56" t="str">
        <f t="shared" si="13"/>
        <v/>
      </c>
      <c r="AC56" t="str">
        <f t="shared" si="14"/>
        <v/>
      </c>
      <c r="AD56" t="str">
        <f>IFERROR(INDEX(Listas!$Z$2:$Z$3,MATCH(M56,Listas!$Y$2:$Y$3,0)),"")</f>
        <v/>
      </c>
      <c r="AE56" t="str">
        <f t="shared" si="15"/>
        <v/>
      </c>
      <c r="AF56" t="str">
        <f t="shared" si="16"/>
        <v/>
      </c>
      <c r="AG56" t="str">
        <f t="shared" si="17"/>
        <v/>
      </c>
    </row>
    <row r="57" spans="7:33" x14ac:dyDescent="0.35">
      <c r="G57" s="15"/>
      <c r="H57" s="15"/>
      <c r="R57" t="str">
        <f>IFERROR(INDEX('1.11 Turmas'!$B$2:$B$61,MATCH(A57,'1.11 Turmas'!$A$2:$A$61,0)),"")</f>
        <v/>
      </c>
      <c r="S57" t="str">
        <f>IFERROR(INDEX('2.2 Disciplinas'!$B$2:$B$61,MATCH(B57,'2.2 Disciplinas'!$A$2:$A$61,0)),"")</f>
        <v/>
      </c>
      <c r="T57" t="str">
        <f>IFERROR(INDEX('2.4 Curriculos'!$C$2:$C$61,MATCH(C57,'2.4 Curriculos'!$B$2:$B$61,0)),"")</f>
        <v/>
      </c>
      <c r="U57" t="str">
        <f>IFERROR(INDEX('2.1 Cursos'!$B$2:$B$61,MATCH(D57,'2.1 Cursos'!$A$2:$A$61,0)),"")</f>
        <v/>
      </c>
      <c r="V57" t="str">
        <f>IFERROR(INDEX('2.3 Periodos'!$B$2:$B$61,MATCH(E57,'2.3 Periodos'!$A$2:$A$61,0)),"")</f>
        <v/>
      </c>
      <c r="W57" t="str">
        <f>IFERROR(INDEX('1.4 Turnos'!$B$2:$B$61,MATCH(F57,'1.4 Turnos'!$A$2:$A$61,0)),"")</f>
        <v/>
      </c>
      <c r="X57" t="str">
        <f t="shared" si="9"/>
        <v/>
      </c>
      <c r="Y57" t="str">
        <f t="shared" si="10"/>
        <v/>
      </c>
      <c r="Z57" t="str">
        <f t="shared" si="11"/>
        <v/>
      </c>
      <c r="AA57" t="str">
        <f t="shared" si="12"/>
        <v/>
      </c>
      <c r="AB57" t="str">
        <f t="shared" si="13"/>
        <v/>
      </c>
      <c r="AC57" t="str">
        <f t="shared" si="14"/>
        <v/>
      </c>
      <c r="AD57" t="str">
        <f>IFERROR(INDEX(Listas!$Z$2:$Z$3,MATCH(M57,Listas!$Y$2:$Y$3,0)),"")</f>
        <v/>
      </c>
      <c r="AE57" t="str">
        <f t="shared" si="15"/>
        <v/>
      </c>
      <c r="AF57" t="str">
        <f t="shared" si="16"/>
        <v/>
      </c>
      <c r="AG57" t="str">
        <f t="shared" si="17"/>
        <v/>
      </c>
    </row>
    <row r="58" spans="7:33" x14ac:dyDescent="0.35">
      <c r="G58" s="15"/>
      <c r="H58" s="15"/>
      <c r="R58" t="str">
        <f>IFERROR(INDEX('1.11 Turmas'!$B$2:$B$61,MATCH(A58,'1.11 Turmas'!$A$2:$A$61,0)),"")</f>
        <v/>
      </c>
      <c r="S58" t="str">
        <f>IFERROR(INDEX('2.2 Disciplinas'!$B$2:$B$61,MATCH(B58,'2.2 Disciplinas'!$A$2:$A$61,0)),"")</f>
        <v/>
      </c>
      <c r="T58" t="str">
        <f>IFERROR(INDEX('2.4 Curriculos'!$C$2:$C$61,MATCH(C58,'2.4 Curriculos'!$B$2:$B$61,0)),"")</f>
        <v/>
      </c>
      <c r="U58" t="str">
        <f>IFERROR(INDEX('2.1 Cursos'!$B$2:$B$61,MATCH(D58,'2.1 Cursos'!$A$2:$A$61,0)),"")</f>
        <v/>
      </c>
      <c r="V58" t="str">
        <f>IFERROR(INDEX('2.3 Periodos'!$B$2:$B$61,MATCH(E58,'2.3 Periodos'!$A$2:$A$61,0)),"")</f>
        <v/>
      </c>
      <c r="W58" t="str">
        <f>IFERROR(INDEX('1.4 Turnos'!$B$2:$B$61,MATCH(F58,'1.4 Turnos'!$A$2:$A$61,0)),"")</f>
        <v/>
      </c>
      <c r="X58" t="str">
        <f t="shared" si="9"/>
        <v/>
      </c>
      <c r="Y58" t="str">
        <f t="shared" si="10"/>
        <v/>
      </c>
      <c r="Z58" t="str">
        <f t="shared" si="11"/>
        <v/>
      </c>
      <c r="AA58" t="str">
        <f t="shared" si="12"/>
        <v/>
      </c>
      <c r="AB58" t="str">
        <f t="shared" si="13"/>
        <v/>
      </c>
      <c r="AC58" t="str">
        <f t="shared" si="14"/>
        <v/>
      </c>
      <c r="AD58" t="str">
        <f>IFERROR(INDEX(Listas!$Z$2:$Z$3,MATCH(M58,Listas!$Y$2:$Y$3,0)),"")</f>
        <v/>
      </c>
      <c r="AE58" t="str">
        <f t="shared" si="15"/>
        <v/>
      </c>
      <c r="AF58" t="str">
        <f t="shared" si="16"/>
        <v/>
      </c>
      <c r="AG58" t="str">
        <f t="shared" si="17"/>
        <v/>
      </c>
    </row>
    <row r="59" spans="7:33" x14ac:dyDescent="0.35">
      <c r="G59" s="15"/>
      <c r="H59" s="15"/>
      <c r="R59" t="str">
        <f>IFERROR(INDEX('1.11 Turmas'!$B$2:$B$61,MATCH(A59,'1.11 Turmas'!$A$2:$A$61,0)),"")</f>
        <v/>
      </c>
      <c r="S59" t="str">
        <f>IFERROR(INDEX('2.2 Disciplinas'!$B$2:$B$61,MATCH(B59,'2.2 Disciplinas'!$A$2:$A$61,0)),"")</f>
        <v/>
      </c>
      <c r="T59" t="str">
        <f>IFERROR(INDEX('2.4 Curriculos'!$C$2:$C$61,MATCH(C59,'2.4 Curriculos'!$B$2:$B$61,0)),"")</f>
        <v/>
      </c>
      <c r="U59" t="str">
        <f>IFERROR(INDEX('2.1 Cursos'!$B$2:$B$61,MATCH(D59,'2.1 Cursos'!$A$2:$A$61,0)),"")</f>
        <v/>
      </c>
      <c r="V59" t="str">
        <f>IFERROR(INDEX('2.3 Periodos'!$B$2:$B$61,MATCH(E59,'2.3 Periodos'!$A$2:$A$61,0)),"")</f>
        <v/>
      </c>
      <c r="W59" t="str">
        <f>IFERROR(INDEX('1.4 Turnos'!$B$2:$B$61,MATCH(F59,'1.4 Turnos'!$A$2:$A$61,0)),"")</f>
        <v/>
      </c>
      <c r="X59" t="str">
        <f t="shared" si="9"/>
        <v/>
      </c>
      <c r="Y59" t="str">
        <f t="shared" si="10"/>
        <v/>
      </c>
      <c r="Z59" t="str">
        <f t="shared" si="11"/>
        <v/>
      </c>
      <c r="AA59" t="str">
        <f t="shared" si="12"/>
        <v/>
      </c>
      <c r="AB59" t="str">
        <f t="shared" si="13"/>
        <v/>
      </c>
      <c r="AC59" t="str">
        <f t="shared" si="14"/>
        <v/>
      </c>
      <c r="AD59" t="str">
        <f>IFERROR(INDEX(Listas!$Z$2:$Z$3,MATCH(M59,Listas!$Y$2:$Y$3,0)),"")</f>
        <v/>
      </c>
      <c r="AE59" t="str">
        <f t="shared" si="15"/>
        <v/>
      </c>
      <c r="AF59" t="str">
        <f t="shared" si="16"/>
        <v/>
      </c>
      <c r="AG59" t="str">
        <f t="shared" si="17"/>
        <v/>
      </c>
    </row>
    <row r="60" spans="7:33" x14ac:dyDescent="0.35">
      <c r="G60" s="15"/>
      <c r="H60" s="15"/>
      <c r="R60" t="str">
        <f>IFERROR(INDEX('1.11 Turmas'!$B$2:$B$61,MATCH(A60,'1.11 Turmas'!$A$2:$A$61,0)),"")</f>
        <v/>
      </c>
      <c r="S60" t="str">
        <f>IFERROR(INDEX('2.2 Disciplinas'!$B$2:$B$61,MATCH(B60,'2.2 Disciplinas'!$A$2:$A$61,0)),"")</f>
        <v/>
      </c>
      <c r="T60" t="str">
        <f>IFERROR(INDEX('2.4 Curriculos'!$C$2:$C$61,MATCH(C60,'2.4 Curriculos'!$B$2:$B$61,0)),"")</f>
        <v/>
      </c>
      <c r="U60" t="str">
        <f>IFERROR(INDEX('2.1 Cursos'!$B$2:$B$61,MATCH(D60,'2.1 Cursos'!$A$2:$A$61,0)),"")</f>
        <v/>
      </c>
      <c r="V60" t="str">
        <f>IFERROR(INDEX('2.3 Periodos'!$B$2:$B$61,MATCH(E60,'2.3 Periodos'!$A$2:$A$61,0)),"")</f>
        <v/>
      </c>
      <c r="W60" t="str">
        <f>IFERROR(INDEX('1.4 Turnos'!$B$2:$B$61,MATCH(F60,'1.4 Turnos'!$A$2:$A$61,0)),"")</f>
        <v/>
      </c>
      <c r="X60" t="str">
        <f t="shared" si="9"/>
        <v/>
      </c>
      <c r="Y60" t="str">
        <f t="shared" si="10"/>
        <v/>
      </c>
      <c r="Z60" t="str">
        <f t="shared" si="11"/>
        <v/>
      </c>
      <c r="AA60" t="str">
        <f t="shared" si="12"/>
        <v/>
      </c>
      <c r="AB60" t="str">
        <f t="shared" si="13"/>
        <v/>
      </c>
      <c r="AC60" t="str">
        <f t="shared" si="14"/>
        <v/>
      </c>
      <c r="AD60" t="str">
        <f>IFERROR(INDEX(Listas!$Z$2:$Z$3,MATCH(M60,Listas!$Y$2:$Y$3,0)),"")</f>
        <v/>
      </c>
      <c r="AE60" t="str">
        <f t="shared" si="15"/>
        <v/>
      </c>
      <c r="AF60" t="str">
        <f t="shared" si="16"/>
        <v/>
      </c>
      <c r="AG60" t="str">
        <f t="shared" si="17"/>
        <v/>
      </c>
    </row>
    <row r="61" spans="7:33" x14ac:dyDescent="0.35">
      <c r="G61" s="15"/>
      <c r="H61" s="15"/>
      <c r="R61" t="str">
        <f>IFERROR(INDEX('1.11 Turmas'!$B$2:$B$61,MATCH(A61,'1.11 Turmas'!$A$2:$A$61,0)),"")</f>
        <v/>
      </c>
      <c r="S61" t="str">
        <f>IFERROR(INDEX('2.2 Disciplinas'!$B$2:$B$61,MATCH(B61,'2.2 Disciplinas'!$A$2:$A$61,0)),"")</f>
        <v/>
      </c>
      <c r="T61" t="str">
        <f>IFERROR(INDEX('2.4 Curriculos'!$C$2:$C$61,MATCH(C61,'2.4 Curriculos'!$B$2:$B$61,0)),"")</f>
        <v/>
      </c>
      <c r="U61" t="str">
        <f>IFERROR(INDEX('2.1 Cursos'!$B$2:$B$61,MATCH(D61,'2.1 Cursos'!$A$2:$A$61,0)),"")</f>
        <v/>
      </c>
      <c r="V61" t="str">
        <f>IFERROR(INDEX('2.3 Periodos'!$B$2:$B$61,MATCH(E61,'2.3 Periodos'!$A$2:$A$61,0)),"")</f>
        <v/>
      </c>
      <c r="W61" t="str">
        <f>IFERROR(INDEX('1.4 Turnos'!$B$2:$B$61,MATCH(F61,'1.4 Turnos'!$A$2:$A$61,0)),"")</f>
        <v/>
      </c>
      <c r="X61" t="str">
        <f t="shared" si="9"/>
        <v/>
      </c>
      <c r="Y61" t="str">
        <f t="shared" si="10"/>
        <v/>
      </c>
      <c r="Z61" t="str">
        <f t="shared" si="11"/>
        <v/>
      </c>
      <c r="AA61" t="str">
        <f t="shared" si="12"/>
        <v/>
      </c>
      <c r="AB61" t="str">
        <f t="shared" si="13"/>
        <v/>
      </c>
      <c r="AC61" t="str">
        <f t="shared" si="14"/>
        <v/>
      </c>
      <c r="AD61" t="str">
        <f>IFERROR(INDEX(Listas!$Z$2:$Z$3,MATCH(M61,Listas!$Y$2:$Y$3,0)),"")</f>
        <v/>
      </c>
      <c r="AE61" t="str">
        <f t="shared" si="15"/>
        <v/>
      </c>
      <c r="AF61" t="str">
        <f t="shared" si="16"/>
        <v/>
      </c>
      <c r="AG61" t="str">
        <f t="shared" si="17"/>
        <v/>
      </c>
    </row>
  </sheetData>
  <autoFilter ref="A1:P1"/>
  <conditionalFormatting sqref="A3:A61">
    <cfRule type="expression" dxfId="47" priority="2">
      <formula>AND($A3="",COUNTA($A3:$P3)&gt;0)</formula>
    </cfRule>
  </conditionalFormatting>
  <conditionalFormatting sqref="B3:B61">
    <cfRule type="expression" dxfId="46" priority="3">
      <formula>AND($B3="",COUNTA($A3:$P3)&gt;0)</formula>
    </cfRule>
  </conditionalFormatting>
  <conditionalFormatting sqref="C3:C61">
    <cfRule type="expression" dxfId="45" priority="4">
      <formula>AND($C3="",COUNTA($A3:$P3)&gt;0)</formula>
    </cfRule>
  </conditionalFormatting>
  <conditionalFormatting sqref="D3:D61">
    <cfRule type="expression" dxfId="44" priority="5">
      <formula>AND($D3="",COUNTA($A3:$P3)&gt;0)</formula>
    </cfRule>
  </conditionalFormatting>
  <conditionalFormatting sqref="I3:I61">
    <cfRule type="expression" dxfId="43" priority="6">
      <formula>AND($I3="",COUNTA($A3:$P3)&gt;0)</formula>
    </cfRule>
  </conditionalFormatting>
  <dataValidations count="3">
    <dataValidation type="textLength" operator="lessThanOrEqual" allowBlank="1" errorTitle="Texto muito longo" error="Máximo de 50 caracteres" sqref="I2:I61">
      <formula1>50</formula1>
      <formula2>0</formula2>
    </dataValidation>
    <dataValidation type="list" allowBlank="1" sqref="N2:P61 J2:K61">
      <formula1>"Sim,Não"</formula1>
      <formula2>0</formula2>
    </dataValidation>
    <dataValidation type="list" allowBlank="1" sqref="L2:L61">
      <formula1>$I$2:$I$61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>
          <x14:formula1>
            <xm:f>'1.11 Turmas'!$A$2:$A$61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'2.2 Disciplinas'!$A$2:$A$61</xm:f>
          </x14:formula1>
          <x14:formula2>
            <xm:f>0</xm:f>
          </x14:formula2>
          <xm:sqref>B2:B61</xm:sqref>
        </x14:dataValidation>
        <x14:dataValidation type="list" allowBlank="1">
          <x14:formula1>
            <xm:f>'2.4 Curriculos'!$B$2:$B$61</xm:f>
          </x14:formula1>
          <x14:formula2>
            <xm:f>0</xm:f>
          </x14:formula2>
          <xm:sqref>C2:C61</xm:sqref>
        </x14:dataValidation>
        <x14:dataValidation type="list" allowBlank="1">
          <x14:formula1>
            <xm:f>'2.1 Cursos'!$A$2:$A$61</xm:f>
          </x14:formula1>
          <x14:formula2>
            <xm:f>0</xm:f>
          </x14:formula2>
          <xm:sqref>D2:D61</xm:sqref>
        </x14:dataValidation>
        <x14:dataValidation type="list" allowBlank="1">
          <x14:formula1>
            <xm:f>'2.3 Periodos'!$A$2:$A$61</xm:f>
          </x14:formula1>
          <x14:formula2>
            <xm:f>0</xm:f>
          </x14:formula2>
          <xm:sqref>E2:E61</xm:sqref>
        </x14:dataValidation>
        <x14:dataValidation type="list" allowBlank="1">
          <x14:formula1>
            <xm:f>'1.4 Turnos'!$A$2:$A$61</xm:f>
          </x14:formula1>
          <x14:formula2>
            <xm:f>0</xm:f>
          </x14:formula2>
          <xm:sqref>F2:F61</xm:sqref>
        </x14:dataValidation>
        <x14:dataValidation type="list" allowBlank="1">
          <x14:formula1>
            <xm:f>Listas!$Y$2:$Y$3</xm:f>
          </x14:formula1>
          <x14:formula2>
            <xm:f>0</xm:f>
          </x14:formula2>
          <xm:sqref>M2:M61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33C00"/>
  </sheetPr>
  <dimension ref="A1:E61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26" customWidth="1"/>
    <col min="2" max="2" width="10" customWidth="1"/>
    <col min="4" max="5" width="16" hidden="1" customWidth="1"/>
  </cols>
  <sheetData>
    <row r="1" spans="1:5" ht="31.5" customHeight="1" x14ac:dyDescent="0.35">
      <c r="A1" s="16" t="s">
        <v>180</v>
      </c>
      <c r="B1" s="16" t="s">
        <v>53</v>
      </c>
      <c r="D1" s="10" t="s">
        <v>181</v>
      </c>
      <c r="E1" s="10" t="s">
        <v>46</v>
      </c>
    </row>
    <row r="2" spans="1:5" x14ac:dyDescent="0.35">
      <c r="A2" s="11" t="s">
        <v>104</v>
      </c>
      <c r="B2" s="11" t="s">
        <v>49</v>
      </c>
      <c r="D2" t="str">
        <f>IFERROR(INDEX('1.12 Pessoas'!$F$2:$F$61,MATCH(A2,'1.12 Pessoas'!$A$2:$A$61,0)),"")</f>
        <v>PES-001</v>
      </c>
      <c r="E2" t="str">
        <f t="shared" ref="E2:E33" si="0">IF(B2="Sim","true",IF(B2="Não","false",""))</f>
        <v>true</v>
      </c>
    </row>
    <row r="3" spans="1:5" x14ac:dyDescent="0.35">
      <c r="D3" t="str">
        <f>IFERROR(INDEX('1.12 Pessoas'!$F$2:$F$61,MATCH(A3,'1.12 Pessoas'!$A$2:$A$61,0)),"")</f>
        <v/>
      </c>
      <c r="E3" t="str">
        <f t="shared" si="0"/>
        <v/>
      </c>
    </row>
    <row r="4" spans="1:5" x14ac:dyDescent="0.35">
      <c r="D4" t="str">
        <f>IFERROR(INDEX('1.12 Pessoas'!$F$2:$F$61,MATCH(A4,'1.12 Pessoas'!$A$2:$A$61,0)),"")</f>
        <v/>
      </c>
      <c r="E4" t="str">
        <f t="shared" si="0"/>
        <v/>
      </c>
    </row>
    <row r="5" spans="1:5" x14ac:dyDescent="0.35">
      <c r="D5" t="str">
        <f>IFERROR(INDEX('1.12 Pessoas'!$F$2:$F$61,MATCH(A5,'1.12 Pessoas'!$A$2:$A$61,0)),"")</f>
        <v/>
      </c>
      <c r="E5" t="str">
        <f t="shared" si="0"/>
        <v/>
      </c>
    </row>
    <row r="6" spans="1:5" x14ac:dyDescent="0.35">
      <c r="D6" t="str">
        <f>IFERROR(INDEX('1.12 Pessoas'!$F$2:$F$61,MATCH(A6,'1.12 Pessoas'!$A$2:$A$61,0)),"")</f>
        <v/>
      </c>
      <c r="E6" t="str">
        <f t="shared" si="0"/>
        <v/>
      </c>
    </row>
    <row r="7" spans="1:5" x14ac:dyDescent="0.35">
      <c r="D7" t="str">
        <f>IFERROR(INDEX('1.12 Pessoas'!$F$2:$F$61,MATCH(A7,'1.12 Pessoas'!$A$2:$A$61,0)),"")</f>
        <v/>
      </c>
      <c r="E7" t="str">
        <f t="shared" si="0"/>
        <v/>
      </c>
    </row>
    <row r="8" spans="1:5" x14ac:dyDescent="0.35">
      <c r="D8" t="str">
        <f>IFERROR(INDEX('1.12 Pessoas'!$F$2:$F$61,MATCH(A8,'1.12 Pessoas'!$A$2:$A$61,0)),"")</f>
        <v/>
      </c>
      <c r="E8" t="str">
        <f t="shared" si="0"/>
        <v/>
      </c>
    </row>
    <row r="9" spans="1:5" x14ac:dyDescent="0.35">
      <c r="D9" t="str">
        <f>IFERROR(INDEX('1.12 Pessoas'!$F$2:$F$61,MATCH(A9,'1.12 Pessoas'!$A$2:$A$61,0)),"")</f>
        <v/>
      </c>
      <c r="E9" t="str">
        <f t="shared" si="0"/>
        <v/>
      </c>
    </row>
    <row r="10" spans="1:5" x14ac:dyDescent="0.35">
      <c r="D10" t="str">
        <f>IFERROR(INDEX('1.12 Pessoas'!$F$2:$F$61,MATCH(A10,'1.12 Pessoas'!$A$2:$A$61,0)),"")</f>
        <v/>
      </c>
      <c r="E10" t="str">
        <f t="shared" si="0"/>
        <v/>
      </c>
    </row>
    <row r="11" spans="1:5" x14ac:dyDescent="0.35">
      <c r="D11" t="str">
        <f>IFERROR(INDEX('1.12 Pessoas'!$F$2:$F$61,MATCH(A11,'1.12 Pessoas'!$A$2:$A$61,0)),"")</f>
        <v/>
      </c>
      <c r="E11" t="str">
        <f t="shared" si="0"/>
        <v/>
      </c>
    </row>
    <row r="12" spans="1:5" x14ac:dyDescent="0.35">
      <c r="D12" t="str">
        <f>IFERROR(INDEX('1.12 Pessoas'!$F$2:$F$61,MATCH(A12,'1.12 Pessoas'!$A$2:$A$61,0)),"")</f>
        <v/>
      </c>
      <c r="E12" t="str">
        <f t="shared" si="0"/>
        <v/>
      </c>
    </row>
    <row r="13" spans="1:5" x14ac:dyDescent="0.35">
      <c r="D13" t="str">
        <f>IFERROR(INDEX('1.12 Pessoas'!$F$2:$F$61,MATCH(A13,'1.12 Pessoas'!$A$2:$A$61,0)),"")</f>
        <v/>
      </c>
      <c r="E13" t="str">
        <f t="shared" si="0"/>
        <v/>
      </c>
    </row>
    <row r="14" spans="1:5" x14ac:dyDescent="0.35">
      <c r="D14" t="str">
        <f>IFERROR(INDEX('1.12 Pessoas'!$F$2:$F$61,MATCH(A14,'1.12 Pessoas'!$A$2:$A$61,0)),"")</f>
        <v/>
      </c>
      <c r="E14" t="str">
        <f t="shared" si="0"/>
        <v/>
      </c>
    </row>
    <row r="15" spans="1:5" x14ac:dyDescent="0.35">
      <c r="D15" t="str">
        <f>IFERROR(INDEX('1.12 Pessoas'!$F$2:$F$61,MATCH(A15,'1.12 Pessoas'!$A$2:$A$61,0)),"")</f>
        <v/>
      </c>
      <c r="E15" t="str">
        <f t="shared" si="0"/>
        <v/>
      </c>
    </row>
    <row r="16" spans="1:5" x14ac:dyDescent="0.35">
      <c r="D16" t="str">
        <f>IFERROR(INDEX('1.12 Pessoas'!$F$2:$F$61,MATCH(A16,'1.12 Pessoas'!$A$2:$A$61,0)),"")</f>
        <v/>
      </c>
      <c r="E16" t="str">
        <f t="shared" si="0"/>
        <v/>
      </c>
    </row>
    <row r="17" spans="4:5" x14ac:dyDescent="0.35">
      <c r="D17" t="str">
        <f>IFERROR(INDEX('1.12 Pessoas'!$F$2:$F$61,MATCH(A17,'1.12 Pessoas'!$A$2:$A$61,0)),"")</f>
        <v/>
      </c>
      <c r="E17" t="str">
        <f t="shared" si="0"/>
        <v/>
      </c>
    </row>
    <row r="18" spans="4:5" x14ac:dyDescent="0.35">
      <c r="D18" t="str">
        <f>IFERROR(INDEX('1.12 Pessoas'!$F$2:$F$61,MATCH(A18,'1.12 Pessoas'!$A$2:$A$61,0)),"")</f>
        <v/>
      </c>
      <c r="E18" t="str">
        <f t="shared" si="0"/>
        <v/>
      </c>
    </row>
    <row r="19" spans="4:5" x14ac:dyDescent="0.35">
      <c r="D19" t="str">
        <f>IFERROR(INDEX('1.12 Pessoas'!$F$2:$F$61,MATCH(A19,'1.12 Pessoas'!$A$2:$A$61,0)),"")</f>
        <v/>
      </c>
      <c r="E19" t="str">
        <f t="shared" si="0"/>
        <v/>
      </c>
    </row>
    <row r="20" spans="4:5" x14ac:dyDescent="0.35">
      <c r="D20" t="str">
        <f>IFERROR(INDEX('1.12 Pessoas'!$F$2:$F$61,MATCH(A20,'1.12 Pessoas'!$A$2:$A$61,0)),"")</f>
        <v/>
      </c>
      <c r="E20" t="str">
        <f t="shared" si="0"/>
        <v/>
      </c>
    </row>
    <row r="21" spans="4:5" x14ac:dyDescent="0.35">
      <c r="D21" t="str">
        <f>IFERROR(INDEX('1.12 Pessoas'!$F$2:$F$61,MATCH(A21,'1.12 Pessoas'!$A$2:$A$61,0)),"")</f>
        <v/>
      </c>
      <c r="E21" t="str">
        <f t="shared" si="0"/>
        <v/>
      </c>
    </row>
    <row r="22" spans="4:5" x14ac:dyDescent="0.35">
      <c r="D22" t="str">
        <f>IFERROR(INDEX('1.12 Pessoas'!$F$2:$F$61,MATCH(A22,'1.12 Pessoas'!$A$2:$A$61,0)),"")</f>
        <v/>
      </c>
      <c r="E22" t="str">
        <f t="shared" si="0"/>
        <v/>
      </c>
    </row>
    <row r="23" spans="4:5" x14ac:dyDescent="0.35">
      <c r="D23" t="str">
        <f>IFERROR(INDEX('1.12 Pessoas'!$F$2:$F$61,MATCH(A23,'1.12 Pessoas'!$A$2:$A$61,0)),"")</f>
        <v/>
      </c>
      <c r="E23" t="str">
        <f t="shared" si="0"/>
        <v/>
      </c>
    </row>
    <row r="24" spans="4:5" x14ac:dyDescent="0.35">
      <c r="D24" t="str">
        <f>IFERROR(INDEX('1.12 Pessoas'!$F$2:$F$61,MATCH(A24,'1.12 Pessoas'!$A$2:$A$61,0)),"")</f>
        <v/>
      </c>
      <c r="E24" t="str">
        <f t="shared" si="0"/>
        <v/>
      </c>
    </row>
    <row r="25" spans="4:5" x14ac:dyDescent="0.35">
      <c r="D25" t="str">
        <f>IFERROR(INDEX('1.12 Pessoas'!$F$2:$F$61,MATCH(A25,'1.12 Pessoas'!$A$2:$A$61,0)),"")</f>
        <v/>
      </c>
      <c r="E25" t="str">
        <f t="shared" si="0"/>
        <v/>
      </c>
    </row>
    <row r="26" spans="4:5" x14ac:dyDescent="0.35">
      <c r="D26" t="str">
        <f>IFERROR(INDEX('1.12 Pessoas'!$F$2:$F$61,MATCH(A26,'1.12 Pessoas'!$A$2:$A$61,0)),"")</f>
        <v/>
      </c>
      <c r="E26" t="str">
        <f t="shared" si="0"/>
        <v/>
      </c>
    </row>
    <row r="27" spans="4:5" x14ac:dyDescent="0.35">
      <c r="D27" t="str">
        <f>IFERROR(INDEX('1.12 Pessoas'!$F$2:$F$61,MATCH(A27,'1.12 Pessoas'!$A$2:$A$61,0)),"")</f>
        <v/>
      </c>
      <c r="E27" t="str">
        <f t="shared" si="0"/>
        <v/>
      </c>
    </row>
    <row r="28" spans="4:5" x14ac:dyDescent="0.35">
      <c r="D28" t="str">
        <f>IFERROR(INDEX('1.12 Pessoas'!$F$2:$F$61,MATCH(A28,'1.12 Pessoas'!$A$2:$A$61,0)),"")</f>
        <v/>
      </c>
      <c r="E28" t="str">
        <f t="shared" si="0"/>
        <v/>
      </c>
    </row>
    <row r="29" spans="4:5" x14ac:dyDescent="0.35">
      <c r="D29" t="str">
        <f>IFERROR(INDEX('1.12 Pessoas'!$F$2:$F$61,MATCH(A29,'1.12 Pessoas'!$A$2:$A$61,0)),"")</f>
        <v/>
      </c>
      <c r="E29" t="str">
        <f t="shared" si="0"/>
        <v/>
      </c>
    </row>
    <row r="30" spans="4:5" x14ac:dyDescent="0.35">
      <c r="D30" t="str">
        <f>IFERROR(INDEX('1.12 Pessoas'!$F$2:$F$61,MATCH(A30,'1.12 Pessoas'!$A$2:$A$61,0)),"")</f>
        <v/>
      </c>
      <c r="E30" t="str">
        <f t="shared" si="0"/>
        <v/>
      </c>
    </row>
    <row r="31" spans="4:5" x14ac:dyDescent="0.35">
      <c r="D31" t="str">
        <f>IFERROR(INDEX('1.12 Pessoas'!$F$2:$F$61,MATCH(A31,'1.12 Pessoas'!$A$2:$A$61,0)),"")</f>
        <v/>
      </c>
      <c r="E31" t="str">
        <f t="shared" si="0"/>
        <v/>
      </c>
    </row>
    <row r="32" spans="4:5" x14ac:dyDescent="0.35">
      <c r="D32" t="str">
        <f>IFERROR(INDEX('1.12 Pessoas'!$F$2:$F$61,MATCH(A32,'1.12 Pessoas'!$A$2:$A$61,0)),"")</f>
        <v/>
      </c>
      <c r="E32" t="str">
        <f t="shared" si="0"/>
        <v/>
      </c>
    </row>
    <row r="33" spans="4:5" x14ac:dyDescent="0.35">
      <c r="D33" t="str">
        <f>IFERROR(INDEX('1.12 Pessoas'!$F$2:$F$61,MATCH(A33,'1.12 Pessoas'!$A$2:$A$61,0)),"")</f>
        <v/>
      </c>
      <c r="E33" t="str">
        <f t="shared" si="0"/>
        <v/>
      </c>
    </row>
    <row r="34" spans="4:5" x14ac:dyDescent="0.35">
      <c r="D34" t="str">
        <f>IFERROR(INDEX('1.12 Pessoas'!$F$2:$F$61,MATCH(A34,'1.12 Pessoas'!$A$2:$A$61,0)),"")</f>
        <v/>
      </c>
      <c r="E34" t="str">
        <f t="shared" ref="E34:E61" si="1">IF(B34="Sim","true",IF(B34="Não","false",""))</f>
        <v/>
      </c>
    </row>
    <row r="35" spans="4:5" x14ac:dyDescent="0.35">
      <c r="D35" t="str">
        <f>IFERROR(INDEX('1.12 Pessoas'!$F$2:$F$61,MATCH(A35,'1.12 Pessoas'!$A$2:$A$61,0)),"")</f>
        <v/>
      </c>
      <c r="E35" t="str">
        <f t="shared" si="1"/>
        <v/>
      </c>
    </row>
    <row r="36" spans="4:5" x14ac:dyDescent="0.35">
      <c r="D36" t="str">
        <f>IFERROR(INDEX('1.12 Pessoas'!$F$2:$F$61,MATCH(A36,'1.12 Pessoas'!$A$2:$A$61,0)),"")</f>
        <v/>
      </c>
      <c r="E36" t="str">
        <f t="shared" si="1"/>
        <v/>
      </c>
    </row>
    <row r="37" spans="4:5" x14ac:dyDescent="0.35">
      <c r="D37" t="str">
        <f>IFERROR(INDEX('1.12 Pessoas'!$F$2:$F$61,MATCH(A37,'1.12 Pessoas'!$A$2:$A$61,0)),"")</f>
        <v/>
      </c>
      <c r="E37" t="str">
        <f t="shared" si="1"/>
        <v/>
      </c>
    </row>
    <row r="38" spans="4:5" x14ac:dyDescent="0.35">
      <c r="D38" t="str">
        <f>IFERROR(INDEX('1.12 Pessoas'!$F$2:$F$61,MATCH(A38,'1.12 Pessoas'!$A$2:$A$61,0)),"")</f>
        <v/>
      </c>
      <c r="E38" t="str">
        <f t="shared" si="1"/>
        <v/>
      </c>
    </row>
    <row r="39" spans="4:5" x14ac:dyDescent="0.35">
      <c r="D39" t="str">
        <f>IFERROR(INDEX('1.12 Pessoas'!$F$2:$F$61,MATCH(A39,'1.12 Pessoas'!$A$2:$A$61,0)),"")</f>
        <v/>
      </c>
      <c r="E39" t="str">
        <f t="shared" si="1"/>
        <v/>
      </c>
    </row>
    <row r="40" spans="4:5" x14ac:dyDescent="0.35">
      <c r="D40" t="str">
        <f>IFERROR(INDEX('1.12 Pessoas'!$F$2:$F$61,MATCH(A40,'1.12 Pessoas'!$A$2:$A$61,0)),"")</f>
        <v/>
      </c>
      <c r="E40" t="str">
        <f t="shared" si="1"/>
        <v/>
      </c>
    </row>
    <row r="41" spans="4:5" x14ac:dyDescent="0.35">
      <c r="D41" t="str">
        <f>IFERROR(INDEX('1.12 Pessoas'!$F$2:$F$61,MATCH(A41,'1.12 Pessoas'!$A$2:$A$61,0)),"")</f>
        <v/>
      </c>
      <c r="E41" t="str">
        <f t="shared" si="1"/>
        <v/>
      </c>
    </row>
    <row r="42" spans="4:5" x14ac:dyDescent="0.35">
      <c r="D42" t="str">
        <f>IFERROR(INDEX('1.12 Pessoas'!$F$2:$F$61,MATCH(A42,'1.12 Pessoas'!$A$2:$A$61,0)),"")</f>
        <v/>
      </c>
      <c r="E42" t="str">
        <f t="shared" si="1"/>
        <v/>
      </c>
    </row>
    <row r="43" spans="4:5" x14ac:dyDescent="0.35">
      <c r="D43" t="str">
        <f>IFERROR(INDEX('1.12 Pessoas'!$F$2:$F$61,MATCH(A43,'1.12 Pessoas'!$A$2:$A$61,0)),"")</f>
        <v/>
      </c>
      <c r="E43" t="str">
        <f t="shared" si="1"/>
        <v/>
      </c>
    </row>
    <row r="44" spans="4:5" x14ac:dyDescent="0.35">
      <c r="D44" t="str">
        <f>IFERROR(INDEX('1.12 Pessoas'!$F$2:$F$61,MATCH(A44,'1.12 Pessoas'!$A$2:$A$61,0)),"")</f>
        <v/>
      </c>
      <c r="E44" t="str">
        <f t="shared" si="1"/>
        <v/>
      </c>
    </row>
    <row r="45" spans="4:5" x14ac:dyDescent="0.35">
      <c r="D45" t="str">
        <f>IFERROR(INDEX('1.12 Pessoas'!$F$2:$F$61,MATCH(A45,'1.12 Pessoas'!$A$2:$A$61,0)),"")</f>
        <v/>
      </c>
      <c r="E45" t="str">
        <f t="shared" si="1"/>
        <v/>
      </c>
    </row>
    <row r="46" spans="4:5" x14ac:dyDescent="0.35">
      <c r="D46" t="str">
        <f>IFERROR(INDEX('1.12 Pessoas'!$F$2:$F$61,MATCH(A46,'1.12 Pessoas'!$A$2:$A$61,0)),"")</f>
        <v/>
      </c>
      <c r="E46" t="str">
        <f t="shared" si="1"/>
        <v/>
      </c>
    </row>
    <row r="47" spans="4:5" x14ac:dyDescent="0.35">
      <c r="D47" t="str">
        <f>IFERROR(INDEX('1.12 Pessoas'!$F$2:$F$61,MATCH(A47,'1.12 Pessoas'!$A$2:$A$61,0)),"")</f>
        <v/>
      </c>
      <c r="E47" t="str">
        <f t="shared" si="1"/>
        <v/>
      </c>
    </row>
    <row r="48" spans="4:5" x14ac:dyDescent="0.35">
      <c r="D48" t="str">
        <f>IFERROR(INDEX('1.12 Pessoas'!$F$2:$F$61,MATCH(A48,'1.12 Pessoas'!$A$2:$A$61,0)),"")</f>
        <v/>
      </c>
      <c r="E48" t="str">
        <f t="shared" si="1"/>
        <v/>
      </c>
    </row>
    <row r="49" spans="4:5" x14ac:dyDescent="0.35">
      <c r="D49" t="str">
        <f>IFERROR(INDEX('1.12 Pessoas'!$F$2:$F$61,MATCH(A49,'1.12 Pessoas'!$A$2:$A$61,0)),"")</f>
        <v/>
      </c>
      <c r="E49" t="str">
        <f t="shared" si="1"/>
        <v/>
      </c>
    </row>
    <row r="50" spans="4:5" x14ac:dyDescent="0.35">
      <c r="D50" t="str">
        <f>IFERROR(INDEX('1.12 Pessoas'!$F$2:$F$61,MATCH(A50,'1.12 Pessoas'!$A$2:$A$61,0)),"")</f>
        <v/>
      </c>
      <c r="E50" t="str">
        <f t="shared" si="1"/>
        <v/>
      </c>
    </row>
    <row r="51" spans="4:5" x14ac:dyDescent="0.35">
      <c r="D51" t="str">
        <f>IFERROR(INDEX('1.12 Pessoas'!$F$2:$F$61,MATCH(A51,'1.12 Pessoas'!$A$2:$A$61,0)),"")</f>
        <v/>
      </c>
      <c r="E51" t="str">
        <f t="shared" si="1"/>
        <v/>
      </c>
    </row>
    <row r="52" spans="4:5" x14ac:dyDescent="0.35">
      <c r="D52" t="str">
        <f>IFERROR(INDEX('1.12 Pessoas'!$F$2:$F$61,MATCH(A52,'1.12 Pessoas'!$A$2:$A$61,0)),"")</f>
        <v/>
      </c>
      <c r="E52" t="str">
        <f t="shared" si="1"/>
        <v/>
      </c>
    </row>
    <row r="53" spans="4:5" x14ac:dyDescent="0.35">
      <c r="D53" t="str">
        <f>IFERROR(INDEX('1.12 Pessoas'!$F$2:$F$61,MATCH(A53,'1.12 Pessoas'!$A$2:$A$61,0)),"")</f>
        <v/>
      </c>
      <c r="E53" t="str">
        <f t="shared" si="1"/>
        <v/>
      </c>
    </row>
    <row r="54" spans="4:5" x14ac:dyDescent="0.35">
      <c r="D54" t="str">
        <f>IFERROR(INDEX('1.12 Pessoas'!$F$2:$F$61,MATCH(A54,'1.12 Pessoas'!$A$2:$A$61,0)),"")</f>
        <v/>
      </c>
      <c r="E54" t="str">
        <f t="shared" si="1"/>
        <v/>
      </c>
    </row>
    <row r="55" spans="4:5" x14ac:dyDescent="0.35">
      <c r="D55" t="str">
        <f>IFERROR(INDEX('1.12 Pessoas'!$F$2:$F$61,MATCH(A55,'1.12 Pessoas'!$A$2:$A$61,0)),"")</f>
        <v/>
      </c>
      <c r="E55" t="str">
        <f t="shared" si="1"/>
        <v/>
      </c>
    </row>
    <row r="56" spans="4:5" x14ac:dyDescent="0.35">
      <c r="D56" t="str">
        <f>IFERROR(INDEX('1.12 Pessoas'!$F$2:$F$61,MATCH(A56,'1.12 Pessoas'!$A$2:$A$61,0)),"")</f>
        <v/>
      </c>
      <c r="E56" t="str">
        <f t="shared" si="1"/>
        <v/>
      </c>
    </row>
    <row r="57" spans="4:5" x14ac:dyDescent="0.35">
      <c r="D57" t="str">
        <f>IFERROR(INDEX('1.12 Pessoas'!$F$2:$F$61,MATCH(A57,'1.12 Pessoas'!$A$2:$A$61,0)),"")</f>
        <v/>
      </c>
      <c r="E57" t="str">
        <f t="shared" si="1"/>
        <v/>
      </c>
    </row>
    <row r="58" spans="4:5" x14ac:dyDescent="0.35">
      <c r="D58" t="str">
        <f>IFERROR(INDEX('1.12 Pessoas'!$F$2:$F$61,MATCH(A58,'1.12 Pessoas'!$A$2:$A$61,0)),"")</f>
        <v/>
      </c>
      <c r="E58" t="str">
        <f t="shared" si="1"/>
        <v/>
      </c>
    </row>
    <row r="59" spans="4:5" x14ac:dyDescent="0.35">
      <c r="D59" t="str">
        <f>IFERROR(INDEX('1.12 Pessoas'!$F$2:$F$61,MATCH(A59,'1.12 Pessoas'!$A$2:$A$61,0)),"")</f>
        <v/>
      </c>
      <c r="E59" t="str">
        <f t="shared" si="1"/>
        <v/>
      </c>
    </row>
    <row r="60" spans="4:5" x14ac:dyDescent="0.35">
      <c r="D60" t="str">
        <f>IFERROR(INDEX('1.12 Pessoas'!$F$2:$F$61,MATCH(A60,'1.12 Pessoas'!$A$2:$A$61,0)),"")</f>
        <v/>
      </c>
      <c r="E60" t="str">
        <f t="shared" si="1"/>
        <v/>
      </c>
    </row>
    <row r="61" spans="4:5" x14ac:dyDescent="0.35">
      <c r="D61" t="str">
        <f>IFERROR(INDEX('1.12 Pessoas'!$F$2:$F$61,MATCH(A61,'1.12 Pessoas'!$A$2:$A$61,0)),"")</f>
        <v/>
      </c>
      <c r="E61" t="str">
        <f t="shared" si="1"/>
        <v/>
      </c>
    </row>
  </sheetData>
  <autoFilter ref="A1:B1"/>
  <conditionalFormatting sqref="A3:A61">
    <cfRule type="expression" dxfId="42" priority="2">
      <formula>AND($A3="",COUNTA($A3:$B3)&gt;0)</formula>
    </cfRule>
  </conditionalFormatting>
  <conditionalFormatting sqref="B3:B61">
    <cfRule type="expression" dxfId="41" priority="3">
      <formula>AND($B3="",COUNTA($A3:$B3)&gt;0)</formula>
    </cfRule>
  </conditionalFormatting>
  <dataValidations count="1">
    <dataValidation type="list" allowBlank="1" sqref="B2:B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'1.12 Pessoas'!$A$2:$A$61</xm:f>
          </x14:formula1>
          <x14:formula2>
            <xm:f>0</xm:f>
          </x14:formula2>
          <xm:sqref>A2:A61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33C00"/>
  </sheetPr>
  <dimension ref="A1:E61"/>
  <sheetViews>
    <sheetView zoomScaleNormal="100" workbookViewId="0">
      <pane ySplit="1" topLeftCell="A2" activePane="bottomLeft" state="frozen"/>
      <selection pane="bottomLeft" activeCell="A3" sqref="A3"/>
    </sheetView>
  </sheetViews>
  <sheetFormatPr defaultColWidth="8.54296875" defaultRowHeight="14.5" x14ac:dyDescent="0.35"/>
  <cols>
    <col min="1" max="1" width="26" customWidth="1"/>
    <col min="2" max="2" width="10" customWidth="1"/>
    <col min="4" max="5" width="16" hidden="1" customWidth="1"/>
  </cols>
  <sheetData>
    <row r="1" spans="1:5" ht="31.5" customHeight="1" x14ac:dyDescent="0.35">
      <c r="A1" s="16" t="s">
        <v>180</v>
      </c>
      <c r="B1" s="16" t="s">
        <v>53</v>
      </c>
      <c r="D1" s="10" t="s">
        <v>181</v>
      </c>
      <c r="E1" s="10" t="s">
        <v>46</v>
      </c>
    </row>
    <row r="2" spans="1:5" x14ac:dyDescent="0.35">
      <c r="A2" s="11" t="s">
        <v>104</v>
      </c>
      <c r="B2" s="11" t="s">
        <v>49</v>
      </c>
      <c r="D2" t="str">
        <f>IFERROR(INDEX('1.12 Pessoas'!$F$2:$F$61,MATCH(A2,'1.12 Pessoas'!$A$2:$A$61,0)),"")</f>
        <v>PES-001</v>
      </c>
      <c r="E2" t="str">
        <f t="shared" ref="E2:E33" si="0">IF(B2="Sim","true",IF(B2="Não","false",""))</f>
        <v>true</v>
      </c>
    </row>
    <row r="3" spans="1:5" x14ac:dyDescent="0.35">
      <c r="D3" t="str">
        <f>IFERROR(INDEX('1.12 Pessoas'!$F$2:$F$61,MATCH(A3,'1.12 Pessoas'!$A$2:$A$61,0)),"")</f>
        <v/>
      </c>
      <c r="E3" t="str">
        <f t="shared" si="0"/>
        <v/>
      </c>
    </row>
    <row r="4" spans="1:5" x14ac:dyDescent="0.35">
      <c r="D4" t="str">
        <f>IFERROR(INDEX('1.12 Pessoas'!$F$2:$F$61,MATCH(A4,'1.12 Pessoas'!$A$2:$A$61,0)),"")</f>
        <v/>
      </c>
      <c r="E4" t="str">
        <f t="shared" si="0"/>
        <v/>
      </c>
    </row>
    <row r="5" spans="1:5" x14ac:dyDescent="0.35">
      <c r="D5" t="str">
        <f>IFERROR(INDEX('1.12 Pessoas'!$F$2:$F$61,MATCH(A5,'1.12 Pessoas'!$A$2:$A$61,0)),"")</f>
        <v/>
      </c>
      <c r="E5" t="str">
        <f t="shared" si="0"/>
        <v/>
      </c>
    </row>
    <row r="6" spans="1:5" x14ac:dyDescent="0.35">
      <c r="D6" t="str">
        <f>IFERROR(INDEX('1.12 Pessoas'!$F$2:$F$61,MATCH(A6,'1.12 Pessoas'!$A$2:$A$61,0)),"")</f>
        <v/>
      </c>
      <c r="E6" t="str">
        <f t="shared" si="0"/>
        <v/>
      </c>
    </row>
    <row r="7" spans="1:5" x14ac:dyDescent="0.35">
      <c r="D7" t="str">
        <f>IFERROR(INDEX('1.12 Pessoas'!$F$2:$F$61,MATCH(A7,'1.12 Pessoas'!$A$2:$A$61,0)),"")</f>
        <v/>
      </c>
      <c r="E7" t="str">
        <f t="shared" si="0"/>
        <v/>
      </c>
    </row>
    <row r="8" spans="1:5" x14ac:dyDescent="0.35">
      <c r="D8" t="str">
        <f>IFERROR(INDEX('1.12 Pessoas'!$F$2:$F$61,MATCH(A8,'1.12 Pessoas'!$A$2:$A$61,0)),"")</f>
        <v/>
      </c>
      <c r="E8" t="str">
        <f t="shared" si="0"/>
        <v/>
      </c>
    </row>
    <row r="9" spans="1:5" x14ac:dyDescent="0.35">
      <c r="D9" t="str">
        <f>IFERROR(INDEX('1.12 Pessoas'!$F$2:$F$61,MATCH(A9,'1.12 Pessoas'!$A$2:$A$61,0)),"")</f>
        <v/>
      </c>
      <c r="E9" t="str">
        <f t="shared" si="0"/>
        <v/>
      </c>
    </row>
    <row r="10" spans="1:5" x14ac:dyDescent="0.35">
      <c r="D10" t="str">
        <f>IFERROR(INDEX('1.12 Pessoas'!$F$2:$F$61,MATCH(A10,'1.12 Pessoas'!$A$2:$A$61,0)),"")</f>
        <v/>
      </c>
      <c r="E10" t="str">
        <f t="shared" si="0"/>
        <v/>
      </c>
    </row>
    <row r="11" spans="1:5" x14ac:dyDescent="0.35">
      <c r="D11" t="str">
        <f>IFERROR(INDEX('1.12 Pessoas'!$F$2:$F$61,MATCH(A11,'1.12 Pessoas'!$A$2:$A$61,0)),"")</f>
        <v/>
      </c>
      <c r="E11" t="str">
        <f t="shared" si="0"/>
        <v/>
      </c>
    </row>
    <row r="12" spans="1:5" x14ac:dyDescent="0.35">
      <c r="D12" t="str">
        <f>IFERROR(INDEX('1.12 Pessoas'!$F$2:$F$61,MATCH(A12,'1.12 Pessoas'!$A$2:$A$61,0)),"")</f>
        <v/>
      </c>
      <c r="E12" t="str">
        <f t="shared" si="0"/>
        <v/>
      </c>
    </row>
    <row r="13" spans="1:5" x14ac:dyDescent="0.35">
      <c r="D13" t="str">
        <f>IFERROR(INDEX('1.12 Pessoas'!$F$2:$F$61,MATCH(A13,'1.12 Pessoas'!$A$2:$A$61,0)),"")</f>
        <v/>
      </c>
      <c r="E13" t="str">
        <f t="shared" si="0"/>
        <v/>
      </c>
    </row>
    <row r="14" spans="1:5" x14ac:dyDescent="0.35">
      <c r="D14" t="str">
        <f>IFERROR(INDEX('1.12 Pessoas'!$F$2:$F$61,MATCH(A14,'1.12 Pessoas'!$A$2:$A$61,0)),"")</f>
        <v/>
      </c>
      <c r="E14" t="str">
        <f t="shared" si="0"/>
        <v/>
      </c>
    </row>
    <row r="15" spans="1:5" x14ac:dyDescent="0.35">
      <c r="D15" t="str">
        <f>IFERROR(INDEX('1.12 Pessoas'!$F$2:$F$61,MATCH(A15,'1.12 Pessoas'!$A$2:$A$61,0)),"")</f>
        <v/>
      </c>
      <c r="E15" t="str">
        <f t="shared" si="0"/>
        <v/>
      </c>
    </row>
    <row r="16" spans="1:5" x14ac:dyDescent="0.35">
      <c r="D16" t="str">
        <f>IFERROR(INDEX('1.12 Pessoas'!$F$2:$F$61,MATCH(A16,'1.12 Pessoas'!$A$2:$A$61,0)),"")</f>
        <v/>
      </c>
      <c r="E16" t="str">
        <f t="shared" si="0"/>
        <v/>
      </c>
    </row>
    <row r="17" spans="4:5" x14ac:dyDescent="0.35">
      <c r="D17" t="str">
        <f>IFERROR(INDEX('1.12 Pessoas'!$F$2:$F$61,MATCH(A17,'1.12 Pessoas'!$A$2:$A$61,0)),"")</f>
        <v/>
      </c>
      <c r="E17" t="str">
        <f t="shared" si="0"/>
        <v/>
      </c>
    </row>
    <row r="18" spans="4:5" x14ac:dyDescent="0.35">
      <c r="D18" t="str">
        <f>IFERROR(INDEX('1.12 Pessoas'!$F$2:$F$61,MATCH(A18,'1.12 Pessoas'!$A$2:$A$61,0)),"")</f>
        <v/>
      </c>
      <c r="E18" t="str">
        <f t="shared" si="0"/>
        <v/>
      </c>
    </row>
    <row r="19" spans="4:5" x14ac:dyDescent="0.35">
      <c r="D19" t="str">
        <f>IFERROR(INDEX('1.12 Pessoas'!$F$2:$F$61,MATCH(A19,'1.12 Pessoas'!$A$2:$A$61,0)),"")</f>
        <v/>
      </c>
      <c r="E19" t="str">
        <f t="shared" si="0"/>
        <v/>
      </c>
    </row>
    <row r="20" spans="4:5" x14ac:dyDescent="0.35">
      <c r="D20" t="str">
        <f>IFERROR(INDEX('1.12 Pessoas'!$F$2:$F$61,MATCH(A20,'1.12 Pessoas'!$A$2:$A$61,0)),"")</f>
        <v/>
      </c>
      <c r="E20" t="str">
        <f t="shared" si="0"/>
        <v/>
      </c>
    </row>
    <row r="21" spans="4:5" x14ac:dyDescent="0.35">
      <c r="D21" t="str">
        <f>IFERROR(INDEX('1.12 Pessoas'!$F$2:$F$61,MATCH(A21,'1.12 Pessoas'!$A$2:$A$61,0)),"")</f>
        <v/>
      </c>
      <c r="E21" t="str">
        <f t="shared" si="0"/>
        <v/>
      </c>
    </row>
    <row r="22" spans="4:5" x14ac:dyDescent="0.35">
      <c r="D22" t="str">
        <f>IFERROR(INDEX('1.12 Pessoas'!$F$2:$F$61,MATCH(A22,'1.12 Pessoas'!$A$2:$A$61,0)),"")</f>
        <v/>
      </c>
      <c r="E22" t="str">
        <f t="shared" si="0"/>
        <v/>
      </c>
    </row>
    <row r="23" spans="4:5" x14ac:dyDescent="0.35">
      <c r="D23" t="str">
        <f>IFERROR(INDEX('1.12 Pessoas'!$F$2:$F$61,MATCH(A23,'1.12 Pessoas'!$A$2:$A$61,0)),"")</f>
        <v/>
      </c>
      <c r="E23" t="str">
        <f t="shared" si="0"/>
        <v/>
      </c>
    </row>
    <row r="24" spans="4:5" x14ac:dyDescent="0.35">
      <c r="D24" t="str">
        <f>IFERROR(INDEX('1.12 Pessoas'!$F$2:$F$61,MATCH(A24,'1.12 Pessoas'!$A$2:$A$61,0)),"")</f>
        <v/>
      </c>
      <c r="E24" t="str">
        <f t="shared" si="0"/>
        <v/>
      </c>
    </row>
    <row r="25" spans="4:5" x14ac:dyDescent="0.35">
      <c r="D25" t="str">
        <f>IFERROR(INDEX('1.12 Pessoas'!$F$2:$F$61,MATCH(A25,'1.12 Pessoas'!$A$2:$A$61,0)),"")</f>
        <v/>
      </c>
      <c r="E25" t="str">
        <f t="shared" si="0"/>
        <v/>
      </c>
    </row>
    <row r="26" spans="4:5" x14ac:dyDescent="0.35">
      <c r="D26" t="str">
        <f>IFERROR(INDEX('1.12 Pessoas'!$F$2:$F$61,MATCH(A26,'1.12 Pessoas'!$A$2:$A$61,0)),"")</f>
        <v/>
      </c>
      <c r="E26" t="str">
        <f t="shared" si="0"/>
        <v/>
      </c>
    </row>
    <row r="27" spans="4:5" x14ac:dyDescent="0.35">
      <c r="D27" t="str">
        <f>IFERROR(INDEX('1.12 Pessoas'!$F$2:$F$61,MATCH(A27,'1.12 Pessoas'!$A$2:$A$61,0)),"")</f>
        <v/>
      </c>
      <c r="E27" t="str">
        <f t="shared" si="0"/>
        <v/>
      </c>
    </row>
    <row r="28" spans="4:5" x14ac:dyDescent="0.35">
      <c r="D28" t="str">
        <f>IFERROR(INDEX('1.12 Pessoas'!$F$2:$F$61,MATCH(A28,'1.12 Pessoas'!$A$2:$A$61,0)),"")</f>
        <v/>
      </c>
      <c r="E28" t="str">
        <f t="shared" si="0"/>
        <v/>
      </c>
    </row>
    <row r="29" spans="4:5" x14ac:dyDescent="0.35">
      <c r="D29" t="str">
        <f>IFERROR(INDEX('1.12 Pessoas'!$F$2:$F$61,MATCH(A29,'1.12 Pessoas'!$A$2:$A$61,0)),"")</f>
        <v/>
      </c>
      <c r="E29" t="str">
        <f t="shared" si="0"/>
        <v/>
      </c>
    </row>
    <row r="30" spans="4:5" x14ac:dyDescent="0.35">
      <c r="D30" t="str">
        <f>IFERROR(INDEX('1.12 Pessoas'!$F$2:$F$61,MATCH(A30,'1.12 Pessoas'!$A$2:$A$61,0)),"")</f>
        <v/>
      </c>
      <c r="E30" t="str">
        <f t="shared" si="0"/>
        <v/>
      </c>
    </row>
    <row r="31" spans="4:5" x14ac:dyDescent="0.35">
      <c r="D31" t="str">
        <f>IFERROR(INDEX('1.12 Pessoas'!$F$2:$F$61,MATCH(A31,'1.12 Pessoas'!$A$2:$A$61,0)),"")</f>
        <v/>
      </c>
      <c r="E31" t="str">
        <f t="shared" si="0"/>
        <v/>
      </c>
    </row>
    <row r="32" spans="4:5" x14ac:dyDescent="0.35">
      <c r="D32" t="str">
        <f>IFERROR(INDEX('1.12 Pessoas'!$F$2:$F$61,MATCH(A32,'1.12 Pessoas'!$A$2:$A$61,0)),"")</f>
        <v/>
      </c>
      <c r="E32" t="str">
        <f t="shared" si="0"/>
        <v/>
      </c>
    </row>
    <row r="33" spans="4:5" x14ac:dyDescent="0.35">
      <c r="D33" t="str">
        <f>IFERROR(INDEX('1.12 Pessoas'!$F$2:$F$61,MATCH(A33,'1.12 Pessoas'!$A$2:$A$61,0)),"")</f>
        <v/>
      </c>
      <c r="E33" t="str">
        <f t="shared" si="0"/>
        <v/>
      </c>
    </row>
    <row r="34" spans="4:5" x14ac:dyDescent="0.35">
      <c r="D34" t="str">
        <f>IFERROR(INDEX('1.12 Pessoas'!$F$2:$F$61,MATCH(A34,'1.12 Pessoas'!$A$2:$A$61,0)),"")</f>
        <v/>
      </c>
      <c r="E34" t="str">
        <f t="shared" ref="E34:E61" si="1">IF(B34="Sim","true",IF(B34="Não","false",""))</f>
        <v/>
      </c>
    </row>
    <row r="35" spans="4:5" x14ac:dyDescent="0.35">
      <c r="D35" t="str">
        <f>IFERROR(INDEX('1.12 Pessoas'!$F$2:$F$61,MATCH(A35,'1.12 Pessoas'!$A$2:$A$61,0)),"")</f>
        <v/>
      </c>
      <c r="E35" t="str">
        <f t="shared" si="1"/>
        <v/>
      </c>
    </row>
    <row r="36" spans="4:5" x14ac:dyDescent="0.35">
      <c r="D36" t="str">
        <f>IFERROR(INDEX('1.12 Pessoas'!$F$2:$F$61,MATCH(A36,'1.12 Pessoas'!$A$2:$A$61,0)),"")</f>
        <v/>
      </c>
      <c r="E36" t="str">
        <f t="shared" si="1"/>
        <v/>
      </c>
    </row>
    <row r="37" spans="4:5" x14ac:dyDescent="0.35">
      <c r="D37" t="str">
        <f>IFERROR(INDEX('1.12 Pessoas'!$F$2:$F$61,MATCH(A37,'1.12 Pessoas'!$A$2:$A$61,0)),"")</f>
        <v/>
      </c>
      <c r="E37" t="str">
        <f t="shared" si="1"/>
        <v/>
      </c>
    </row>
    <row r="38" spans="4:5" x14ac:dyDescent="0.35">
      <c r="D38" t="str">
        <f>IFERROR(INDEX('1.12 Pessoas'!$F$2:$F$61,MATCH(A38,'1.12 Pessoas'!$A$2:$A$61,0)),"")</f>
        <v/>
      </c>
      <c r="E38" t="str">
        <f t="shared" si="1"/>
        <v/>
      </c>
    </row>
    <row r="39" spans="4:5" x14ac:dyDescent="0.35">
      <c r="D39" t="str">
        <f>IFERROR(INDEX('1.12 Pessoas'!$F$2:$F$61,MATCH(A39,'1.12 Pessoas'!$A$2:$A$61,0)),"")</f>
        <v/>
      </c>
      <c r="E39" t="str">
        <f t="shared" si="1"/>
        <v/>
      </c>
    </row>
    <row r="40" spans="4:5" x14ac:dyDescent="0.35">
      <c r="D40" t="str">
        <f>IFERROR(INDEX('1.12 Pessoas'!$F$2:$F$61,MATCH(A40,'1.12 Pessoas'!$A$2:$A$61,0)),"")</f>
        <v/>
      </c>
      <c r="E40" t="str">
        <f t="shared" si="1"/>
        <v/>
      </c>
    </row>
    <row r="41" spans="4:5" x14ac:dyDescent="0.35">
      <c r="D41" t="str">
        <f>IFERROR(INDEX('1.12 Pessoas'!$F$2:$F$61,MATCH(A41,'1.12 Pessoas'!$A$2:$A$61,0)),"")</f>
        <v/>
      </c>
      <c r="E41" t="str">
        <f t="shared" si="1"/>
        <v/>
      </c>
    </row>
    <row r="42" spans="4:5" x14ac:dyDescent="0.35">
      <c r="D42" t="str">
        <f>IFERROR(INDEX('1.12 Pessoas'!$F$2:$F$61,MATCH(A42,'1.12 Pessoas'!$A$2:$A$61,0)),"")</f>
        <v/>
      </c>
      <c r="E42" t="str">
        <f t="shared" si="1"/>
        <v/>
      </c>
    </row>
    <row r="43" spans="4:5" x14ac:dyDescent="0.35">
      <c r="D43" t="str">
        <f>IFERROR(INDEX('1.12 Pessoas'!$F$2:$F$61,MATCH(A43,'1.12 Pessoas'!$A$2:$A$61,0)),"")</f>
        <v/>
      </c>
      <c r="E43" t="str">
        <f t="shared" si="1"/>
        <v/>
      </c>
    </row>
    <row r="44" spans="4:5" x14ac:dyDescent="0.35">
      <c r="D44" t="str">
        <f>IFERROR(INDEX('1.12 Pessoas'!$F$2:$F$61,MATCH(A44,'1.12 Pessoas'!$A$2:$A$61,0)),"")</f>
        <v/>
      </c>
      <c r="E44" t="str">
        <f t="shared" si="1"/>
        <v/>
      </c>
    </row>
    <row r="45" spans="4:5" x14ac:dyDescent="0.35">
      <c r="D45" t="str">
        <f>IFERROR(INDEX('1.12 Pessoas'!$F$2:$F$61,MATCH(A45,'1.12 Pessoas'!$A$2:$A$61,0)),"")</f>
        <v/>
      </c>
      <c r="E45" t="str">
        <f t="shared" si="1"/>
        <v/>
      </c>
    </row>
    <row r="46" spans="4:5" x14ac:dyDescent="0.35">
      <c r="D46" t="str">
        <f>IFERROR(INDEX('1.12 Pessoas'!$F$2:$F$61,MATCH(A46,'1.12 Pessoas'!$A$2:$A$61,0)),"")</f>
        <v/>
      </c>
      <c r="E46" t="str">
        <f t="shared" si="1"/>
        <v/>
      </c>
    </row>
    <row r="47" spans="4:5" x14ac:dyDescent="0.35">
      <c r="D47" t="str">
        <f>IFERROR(INDEX('1.12 Pessoas'!$F$2:$F$61,MATCH(A47,'1.12 Pessoas'!$A$2:$A$61,0)),"")</f>
        <v/>
      </c>
      <c r="E47" t="str">
        <f t="shared" si="1"/>
        <v/>
      </c>
    </row>
    <row r="48" spans="4:5" x14ac:dyDescent="0.35">
      <c r="D48" t="str">
        <f>IFERROR(INDEX('1.12 Pessoas'!$F$2:$F$61,MATCH(A48,'1.12 Pessoas'!$A$2:$A$61,0)),"")</f>
        <v/>
      </c>
      <c r="E48" t="str">
        <f t="shared" si="1"/>
        <v/>
      </c>
    </row>
    <row r="49" spans="4:5" x14ac:dyDescent="0.35">
      <c r="D49" t="str">
        <f>IFERROR(INDEX('1.12 Pessoas'!$F$2:$F$61,MATCH(A49,'1.12 Pessoas'!$A$2:$A$61,0)),"")</f>
        <v/>
      </c>
      <c r="E49" t="str">
        <f t="shared" si="1"/>
        <v/>
      </c>
    </row>
    <row r="50" spans="4:5" x14ac:dyDescent="0.35">
      <c r="D50" t="str">
        <f>IFERROR(INDEX('1.12 Pessoas'!$F$2:$F$61,MATCH(A50,'1.12 Pessoas'!$A$2:$A$61,0)),"")</f>
        <v/>
      </c>
      <c r="E50" t="str">
        <f t="shared" si="1"/>
        <v/>
      </c>
    </row>
    <row r="51" spans="4:5" x14ac:dyDescent="0.35">
      <c r="D51" t="str">
        <f>IFERROR(INDEX('1.12 Pessoas'!$F$2:$F$61,MATCH(A51,'1.12 Pessoas'!$A$2:$A$61,0)),"")</f>
        <v/>
      </c>
      <c r="E51" t="str">
        <f t="shared" si="1"/>
        <v/>
      </c>
    </row>
    <row r="52" spans="4:5" x14ac:dyDescent="0.35">
      <c r="D52" t="str">
        <f>IFERROR(INDEX('1.12 Pessoas'!$F$2:$F$61,MATCH(A52,'1.12 Pessoas'!$A$2:$A$61,0)),"")</f>
        <v/>
      </c>
      <c r="E52" t="str">
        <f t="shared" si="1"/>
        <v/>
      </c>
    </row>
    <row r="53" spans="4:5" x14ac:dyDescent="0.35">
      <c r="D53" t="str">
        <f>IFERROR(INDEX('1.12 Pessoas'!$F$2:$F$61,MATCH(A53,'1.12 Pessoas'!$A$2:$A$61,0)),"")</f>
        <v/>
      </c>
      <c r="E53" t="str">
        <f t="shared" si="1"/>
        <v/>
      </c>
    </row>
    <row r="54" spans="4:5" x14ac:dyDescent="0.35">
      <c r="D54" t="str">
        <f>IFERROR(INDEX('1.12 Pessoas'!$F$2:$F$61,MATCH(A54,'1.12 Pessoas'!$A$2:$A$61,0)),"")</f>
        <v/>
      </c>
      <c r="E54" t="str">
        <f t="shared" si="1"/>
        <v/>
      </c>
    </row>
    <row r="55" spans="4:5" x14ac:dyDescent="0.35">
      <c r="D55" t="str">
        <f>IFERROR(INDEX('1.12 Pessoas'!$F$2:$F$61,MATCH(A55,'1.12 Pessoas'!$A$2:$A$61,0)),"")</f>
        <v/>
      </c>
      <c r="E55" t="str">
        <f t="shared" si="1"/>
        <v/>
      </c>
    </row>
    <row r="56" spans="4:5" x14ac:dyDescent="0.35">
      <c r="D56" t="str">
        <f>IFERROR(INDEX('1.12 Pessoas'!$F$2:$F$61,MATCH(A56,'1.12 Pessoas'!$A$2:$A$61,0)),"")</f>
        <v/>
      </c>
      <c r="E56" t="str">
        <f t="shared" si="1"/>
        <v/>
      </c>
    </row>
    <row r="57" spans="4:5" x14ac:dyDescent="0.35">
      <c r="D57" t="str">
        <f>IFERROR(INDEX('1.12 Pessoas'!$F$2:$F$61,MATCH(A57,'1.12 Pessoas'!$A$2:$A$61,0)),"")</f>
        <v/>
      </c>
      <c r="E57" t="str">
        <f t="shared" si="1"/>
        <v/>
      </c>
    </row>
    <row r="58" spans="4:5" x14ac:dyDescent="0.35">
      <c r="D58" t="str">
        <f>IFERROR(INDEX('1.12 Pessoas'!$F$2:$F$61,MATCH(A58,'1.12 Pessoas'!$A$2:$A$61,0)),"")</f>
        <v/>
      </c>
      <c r="E58" t="str">
        <f t="shared" si="1"/>
        <v/>
      </c>
    </row>
    <row r="59" spans="4:5" x14ac:dyDescent="0.35">
      <c r="D59" t="str">
        <f>IFERROR(INDEX('1.12 Pessoas'!$F$2:$F$61,MATCH(A59,'1.12 Pessoas'!$A$2:$A$61,0)),"")</f>
        <v/>
      </c>
      <c r="E59" t="str">
        <f t="shared" si="1"/>
        <v/>
      </c>
    </row>
    <row r="60" spans="4:5" x14ac:dyDescent="0.35">
      <c r="D60" t="str">
        <f>IFERROR(INDEX('1.12 Pessoas'!$F$2:$F$61,MATCH(A60,'1.12 Pessoas'!$A$2:$A$61,0)),"")</f>
        <v/>
      </c>
      <c r="E60" t="str">
        <f t="shared" si="1"/>
        <v/>
      </c>
    </row>
    <row r="61" spans="4:5" x14ac:dyDescent="0.35">
      <c r="D61" t="str">
        <f>IFERROR(INDEX('1.12 Pessoas'!$F$2:$F$61,MATCH(A61,'1.12 Pessoas'!$A$2:$A$61,0)),"")</f>
        <v/>
      </c>
      <c r="E61" t="str">
        <f t="shared" si="1"/>
        <v/>
      </c>
    </row>
  </sheetData>
  <autoFilter ref="A1:B1"/>
  <conditionalFormatting sqref="A3:A61">
    <cfRule type="expression" dxfId="40" priority="2">
      <formula>AND($A3="",COUNTA($A3:$B3)&gt;0)</formula>
    </cfRule>
  </conditionalFormatting>
  <conditionalFormatting sqref="B3:B61">
    <cfRule type="expression" dxfId="39" priority="3">
      <formula>AND($B3="",COUNTA($A3:$B3)&gt;0)</formula>
    </cfRule>
  </conditionalFormatting>
  <dataValidations count="1">
    <dataValidation type="list" allowBlank="1" sqref="B2:B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'1.12 Pessoas'!$A$2:$A$61</xm:f>
          </x14:formula1>
          <x14:formula2>
            <xm:f>0</xm:f>
          </x14:formula2>
          <xm:sqref>A2:A61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33C00"/>
  </sheetPr>
  <dimension ref="A1:K61"/>
  <sheetViews>
    <sheetView zoomScaleNormal="100" workbookViewId="0">
      <pane ySplit="1" topLeftCell="A2" activePane="bottomLeft" state="frozen"/>
      <selection pane="bottomLeft" activeCell="A3" sqref="A3"/>
    </sheetView>
  </sheetViews>
  <sheetFormatPr defaultColWidth="8.54296875" defaultRowHeight="14.5" x14ac:dyDescent="0.35"/>
  <cols>
    <col min="1" max="1" width="26" customWidth="1"/>
    <col min="2" max="2" width="24" customWidth="1"/>
    <col min="3" max="4" width="16" customWidth="1"/>
    <col min="5" max="5" width="10" customWidth="1"/>
    <col min="7" max="11" width="16" hidden="1" customWidth="1"/>
  </cols>
  <sheetData>
    <row r="1" spans="1:11" ht="31.5" customHeight="1" x14ac:dyDescent="0.35">
      <c r="A1" s="16" t="s">
        <v>144</v>
      </c>
      <c r="B1" s="16" t="s">
        <v>182</v>
      </c>
      <c r="C1" s="16" t="s">
        <v>145</v>
      </c>
      <c r="D1" s="16" t="s">
        <v>146</v>
      </c>
      <c r="E1" s="16" t="s">
        <v>53</v>
      </c>
      <c r="G1" s="10" t="s">
        <v>148</v>
      </c>
      <c r="H1" s="10" t="s">
        <v>183</v>
      </c>
      <c r="I1" s="10" t="s">
        <v>138</v>
      </c>
      <c r="J1" s="10" t="s">
        <v>139</v>
      </c>
      <c r="K1" s="10" t="s">
        <v>46</v>
      </c>
    </row>
    <row r="2" spans="1:11" x14ac:dyDescent="0.35">
      <c r="A2" s="11" t="s">
        <v>124</v>
      </c>
      <c r="B2" s="11" t="s">
        <v>104</v>
      </c>
      <c r="C2" s="14" t="s">
        <v>142</v>
      </c>
      <c r="D2" s="14"/>
      <c r="E2" s="11" t="s">
        <v>49</v>
      </c>
      <c r="G2" t="str">
        <f>IFERROR(INDEX('2.1 Cursos'!$B$2:$B$61,MATCH(A2,'2.1 Cursos'!$A$2:$A$61,0)),"")</f>
        <v>CUR-001</v>
      </c>
      <c r="H2" t="str">
        <f>IFERROR(INDEX('3.1 Coordenadores'!$D$2:$D$61,MATCH(B2,'3.1 Coordenadores'!$A$2:$A$61,0)),"")</f>
        <v>PES-001</v>
      </c>
      <c r="I2" t="str">
        <f t="shared" ref="I2:I33" si="0">IF(C2="","",TEXT(C2,"yyyy-mm-dd"))</f>
        <v>yyyy-01-01</v>
      </c>
      <c r="J2" t="str">
        <f t="shared" ref="J2:J33" si="1">IF(D2="","",TEXT(D2,"yyyy-mm-dd"))</f>
        <v/>
      </c>
      <c r="K2" t="str">
        <f t="shared" ref="K2:K33" si="2">IF(E2="Sim","true",IF(E2="Não","false",""))</f>
        <v>true</v>
      </c>
    </row>
    <row r="3" spans="1:11" x14ac:dyDescent="0.35">
      <c r="C3" s="15"/>
      <c r="D3" s="15"/>
      <c r="G3" t="str">
        <f>IFERROR(INDEX('2.1 Cursos'!$B$2:$B$61,MATCH(A3,'2.1 Cursos'!$A$2:$A$61,0)),"")</f>
        <v/>
      </c>
      <c r="H3" t="str">
        <f>IFERROR(INDEX('3.1 Coordenadores'!$D$2:$D$61,MATCH(B3,'3.1 Coordenadores'!$A$2:$A$61,0)),"")</f>
        <v/>
      </c>
      <c r="I3" t="str">
        <f t="shared" si="0"/>
        <v/>
      </c>
      <c r="J3" t="str">
        <f t="shared" si="1"/>
        <v/>
      </c>
      <c r="K3" t="str">
        <f t="shared" si="2"/>
        <v/>
      </c>
    </row>
    <row r="4" spans="1:11" x14ac:dyDescent="0.35">
      <c r="C4" s="15"/>
      <c r="D4" s="15"/>
      <c r="G4" t="str">
        <f>IFERROR(INDEX('2.1 Cursos'!$B$2:$B$61,MATCH(A4,'2.1 Cursos'!$A$2:$A$61,0)),"")</f>
        <v/>
      </c>
      <c r="H4" t="str">
        <f>IFERROR(INDEX('3.1 Coordenadores'!$D$2:$D$61,MATCH(B4,'3.1 Coordenadores'!$A$2:$A$61,0)),"")</f>
        <v/>
      </c>
      <c r="I4" t="str">
        <f t="shared" si="0"/>
        <v/>
      </c>
      <c r="J4" t="str">
        <f t="shared" si="1"/>
        <v/>
      </c>
      <c r="K4" t="str">
        <f t="shared" si="2"/>
        <v/>
      </c>
    </row>
    <row r="5" spans="1:11" x14ac:dyDescent="0.35">
      <c r="C5" s="15"/>
      <c r="D5" s="15"/>
      <c r="G5" t="str">
        <f>IFERROR(INDEX('2.1 Cursos'!$B$2:$B$61,MATCH(A5,'2.1 Cursos'!$A$2:$A$61,0)),"")</f>
        <v/>
      </c>
      <c r="H5" t="str">
        <f>IFERROR(INDEX('3.1 Coordenadores'!$D$2:$D$61,MATCH(B5,'3.1 Coordenadores'!$A$2:$A$61,0)),"")</f>
        <v/>
      </c>
      <c r="I5" t="str">
        <f t="shared" si="0"/>
        <v/>
      </c>
      <c r="J5" t="str">
        <f t="shared" si="1"/>
        <v/>
      </c>
      <c r="K5" t="str">
        <f t="shared" si="2"/>
        <v/>
      </c>
    </row>
    <row r="6" spans="1:11" x14ac:dyDescent="0.35">
      <c r="C6" s="15"/>
      <c r="D6" s="15"/>
      <c r="G6" t="str">
        <f>IFERROR(INDEX('2.1 Cursos'!$B$2:$B$61,MATCH(A6,'2.1 Cursos'!$A$2:$A$61,0)),"")</f>
        <v/>
      </c>
      <c r="H6" t="str">
        <f>IFERROR(INDEX('3.1 Coordenadores'!$D$2:$D$61,MATCH(B6,'3.1 Coordenadores'!$A$2:$A$61,0)),"")</f>
        <v/>
      </c>
      <c r="I6" t="str">
        <f t="shared" si="0"/>
        <v/>
      </c>
      <c r="J6" t="str">
        <f t="shared" si="1"/>
        <v/>
      </c>
      <c r="K6" t="str">
        <f t="shared" si="2"/>
        <v/>
      </c>
    </row>
    <row r="7" spans="1:11" x14ac:dyDescent="0.35">
      <c r="C7" s="15"/>
      <c r="D7" s="15"/>
      <c r="G7" t="str">
        <f>IFERROR(INDEX('2.1 Cursos'!$B$2:$B$61,MATCH(A7,'2.1 Cursos'!$A$2:$A$61,0)),"")</f>
        <v/>
      </c>
      <c r="H7" t="str">
        <f>IFERROR(INDEX('3.1 Coordenadores'!$D$2:$D$61,MATCH(B7,'3.1 Coordenadores'!$A$2:$A$61,0)),"")</f>
        <v/>
      </c>
      <c r="I7" t="str">
        <f t="shared" si="0"/>
        <v/>
      </c>
      <c r="J7" t="str">
        <f t="shared" si="1"/>
        <v/>
      </c>
      <c r="K7" t="str">
        <f t="shared" si="2"/>
        <v/>
      </c>
    </row>
    <row r="8" spans="1:11" x14ac:dyDescent="0.35">
      <c r="C8" s="15"/>
      <c r="D8" s="15"/>
      <c r="G8" t="str">
        <f>IFERROR(INDEX('2.1 Cursos'!$B$2:$B$61,MATCH(A8,'2.1 Cursos'!$A$2:$A$61,0)),"")</f>
        <v/>
      </c>
      <c r="H8" t="str">
        <f>IFERROR(INDEX('3.1 Coordenadores'!$D$2:$D$61,MATCH(B8,'3.1 Coordenadores'!$A$2:$A$61,0)),"")</f>
        <v/>
      </c>
      <c r="I8" t="str">
        <f t="shared" si="0"/>
        <v/>
      </c>
      <c r="J8" t="str">
        <f t="shared" si="1"/>
        <v/>
      </c>
      <c r="K8" t="str">
        <f t="shared" si="2"/>
        <v/>
      </c>
    </row>
    <row r="9" spans="1:11" x14ac:dyDescent="0.35">
      <c r="C9" s="15"/>
      <c r="D9" s="15"/>
      <c r="G9" t="str">
        <f>IFERROR(INDEX('2.1 Cursos'!$B$2:$B$61,MATCH(A9,'2.1 Cursos'!$A$2:$A$61,0)),"")</f>
        <v/>
      </c>
      <c r="H9" t="str">
        <f>IFERROR(INDEX('3.1 Coordenadores'!$D$2:$D$61,MATCH(B9,'3.1 Coordenadores'!$A$2:$A$61,0)),"")</f>
        <v/>
      </c>
      <c r="I9" t="str">
        <f t="shared" si="0"/>
        <v/>
      </c>
      <c r="J9" t="str">
        <f t="shared" si="1"/>
        <v/>
      </c>
      <c r="K9" t="str">
        <f t="shared" si="2"/>
        <v/>
      </c>
    </row>
    <row r="10" spans="1:11" x14ac:dyDescent="0.35">
      <c r="C10" s="15"/>
      <c r="D10" s="15"/>
      <c r="G10" t="str">
        <f>IFERROR(INDEX('2.1 Cursos'!$B$2:$B$61,MATCH(A10,'2.1 Cursos'!$A$2:$A$61,0)),"")</f>
        <v/>
      </c>
      <c r="H10" t="str">
        <f>IFERROR(INDEX('3.1 Coordenadores'!$D$2:$D$61,MATCH(B10,'3.1 Coordenadores'!$A$2:$A$61,0)),"")</f>
        <v/>
      </c>
      <c r="I10" t="str">
        <f t="shared" si="0"/>
        <v/>
      </c>
      <c r="J10" t="str">
        <f t="shared" si="1"/>
        <v/>
      </c>
      <c r="K10" t="str">
        <f t="shared" si="2"/>
        <v/>
      </c>
    </row>
    <row r="11" spans="1:11" x14ac:dyDescent="0.35">
      <c r="C11" s="15"/>
      <c r="D11" s="15"/>
      <c r="G11" t="str">
        <f>IFERROR(INDEX('2.1 Cursos'!$B$2:$B$61,MATCH(A11,'2.1 Cursos'!$A$2:$A$61,0)),"")</f>
        <v/>
      </c>
      <c r="H11" t="str">
        <f>IFERROR(INDEX('3.1 Coordenadores'!$D$2:$D$61,MATCH(B11,'3.1 Coordenadores'!$A$2:$A$61,0)),"")</f>
        <v/>
      </c>
      <c r="I11" t="str">
        <f t="shared" si="0"/>
        <v/>
      </c>
      <c r="J11" t="str">
        <f t="shared" si="1"/>
        <v/>
      </c>
      <c r="K11" t="str">
        <f t="shared" si="2"/>
        <v/>
      </c>
    </row>
    <row r="12" spans="1:11" x14ac:dyDescent="0.35">
      <c r="C12" s="15"/>
      <c r="D12" s="15"/>
      <c r="G12" t="str">
        <f>IFERROR(INDEX('2.1 Cursos'!$B$2:$B$61,MATCH(A12,'2.1 Cursos'!$A$2:$A$61,0)),"")</f>
        <v/>
      </c>
      <c r="H12" t="str">
        <f>IFERROR(INDEX('3.1 Coordenadores'!$D$2:$D$61,MATCH(B12,'3.1 Coordenadores'!$A$2:$A$61,0)),"")</f>
        <v/>
      </c>
      <c r="I12" t="str">
        <f t="shared" si="0"/>
        <v/>
      </c>
      <c r="J12" t="str">
        <f t="shared" si="1"/>
        <v/>
      </c>
      <c r="K12" t="str">
        <f t="shared" si="2"/>
        <v/>
      </c>
    </row>
    <row r="13" spans="1:11" x14ac:dyDescent="0.35">
      <c r="C13" s="15"/>
      <c r="D13" s="15"/>
      <c r="G13" t="str">
        <f>IFERROR(INDEX('2.1 Cursos'!$B$2:$B$61,MATCH(A13,'2.1 Cursos'!$A$2:$A$61,0)),"")</f>
        <v/>
      </c>
      <c r="H13" t="str">
        <f>IFERROR(INDEX('3.1 Coordenadores'!$D$2:$D$61,MATCH(B13,'3.1 Coordenadores'!$A$2:$A$61,0)),"")</f>
        <v/>
      </c>
      <c r="I13" t="str">
        <f t="shared" si="0"/>
        <v/>
      </c>
      <c r="J13" t="str">
        <f t="shared" si="1"/>
        <v/>
      </c>
      <c r="K13" t="str">
        <f t="shared" si="2"/>
        <v/>
      </c>
    </row>
    <row r="14" spans="1:11" x14ac:dyDescent="0.35">
      <c r="C14" s="15"/>
      <c r="D14" s="15"/>
      <c r="G14" t="str">
        <f>IFERROR(INDEX('2.1 Cursos'!$B$2:$B$61,MATCH(A14,'2.1 Cursos'!$A$2:$A$61,0)),"")</f>
        <v/>
      </c>
      <c r="H14" t="str">
        <f>IFERROR(INDEX('3.1 Coordenadores'!$D$2:$D$61,MATCH(B14,'3.1 Coordenadores'!$A$2:$A$61,0)),"")</f>
        <v/>
      </c>
      <c r="I14" t="str">
        <f t="shared" si="0"/>
        <v/>
      </c>
      <c r="J14" t="str">
        <f t="shared" si="1"/>
        <v/>
      </c>
      <c r="K14" t="str">
        <f t="shared" si="2"/>
        <v/>
      </c>
    </row>
    <row r="15" spans="1:11" x14ac:dyDescent="0.35">
      <c r="C15" s="15"/>
      <c r="D15" s="15"/>
      <c r="G15" t="str">
        <f>IFERROR(INDEX('2.1 Cursos'!$B$2:$B$61,MATCH(A15,'2.1 Cursos'!$A$2:$A$61,0)),"")</f>
        <v/>
      </c>
      <c r="H15" t="str">
        <f>IFERROR(INDEX('3.1 Coordenadores'!$D$2:$D$61,MATCH(B15,'3.1 Coordenadores'!$A$2:$A$61,0)),"")</f>
        <v/>
      </c>
      <c r="I15" t="str">
        <f t="shared" si="0"/>
        <v/>
      </c>
      <c r="J15" t="str">
        <f t="shared" si="1"/>
        <v/>
      </c>
      <c r="K15" t="str">
        <f t="shared" si="2"/>
        <v/>
      </c>
    </row>
    <row r="16" spans="1:11" x14ac:dyDescent="0.35">
      <c r="C16" s="15"/>
      <c r="D16" s="15"/>
      <c r="G16" t="str">
        <f>IFERROR(INDEX('2.1 Cursos'!$B$2:$B$61,MATCH(A16,'2.1 Cursos'!$A$2:$A$61,0)),"")</f>
        <v/>
      </c>
      <c r="H16" t="str">
        <f>IFERROR(INDEX('3.1 Coordenadores'!$D$2:$D$61,MATCH(B16,'3.1 Coordenadores'!$A$2:$A$61,0)),"")</f>
        <v/>
      </c>
      <c r="I16" t="str">
        <f t="shared" si="0"/>
        <v/>
      </c>
      <c r="J16" t="str">
        <f t="shared" si="1"/>
        <v/>
      </c>
      <c r="K16" t="str">
        <f t="shared" si="2"/>
        <v/>
      </c>
    </row>
    <row r="17" spans="3:11" x14ac:dyDescent="0.35">
      <c r="C17" s="15"/>
      <c r="D17" s="15"/>
      <c r="G17" t="str">
        <f>IFERROR(INDEX('2.1 Cursos'!$B$2:$B$61,MATCH(A17,'2.1 Cursos'!$A$2:$A$61,0)),"")</f>
        <v/>
      </c>
      <c r="H17" t="str">
        <f>IFERROR(INDEX('3.1 Coordenadores'!$D$2:$D$61,MATCH(B17,'3.1 Coordenadores'!$A$2:$A$61,0)),"")</f>
        <v/>
      </c>
      <c r="I17" t="str">
        <f t="shared" si="0"/>
        <v/>
      </c>
      <c r="J17" t="str">
        <f t="shared" si="1"/>
        <v/>
      </c>
      <c r="K17" t="str">
        <f t="shared" si="2"/>
        <v/>
      </c>
    </row>
    <row r="18" spans="3:11" x14ac:dyDescent="0.35">
      <c r="C18" s="15"/>
      <c r="D18" s="15"/>
      <c r="G18" t="str">
        <f>IFERROR(INDEX('2.1 Cursos'!$B$2:$B$61,MATCH(A18,'2.1 Cursos'!$A$2:$A$61,0)),"")</f>
        <v/>
      </c>
      <c r="H18" t="str">
        <f>IFERROR(INDEX('3.1 Coordenadores'!$D$2:$D$61,MATCH(B18,'3.1 Coordenadores'!$A$2:$A$61,0)),"")</f>
        <v/>
      </c>
      <c r="I18" t="str">
        <f t="shared" si="0"/>
        <v/>
      </c>
      <c r="J18" t="str">
        <f t="shared" si="1"/>
        <v/>
      </c>
      <c r="K18" t="str">
        <f t="shared" si="2"/>
        <v/>
      </c>
    </row>
    <row r="19" spans="3:11" x14ac:dyDescent="0.35">
      <c r="C19" s="15"/>
      <c r="D19" s="15"/>
      <c r="G19" t="str">
        <f>IFERROR(INDEX('2.1 Cursos'!$B$2:$B$61,MATCH(A19,'2.1 Cursos'!$A$2:$A$61,0)),"")</f>
        <v/>
      </c>
      <c r="H19" t="str">
        <f>IFERROR(INDEX('3.1 Coordenadores'!$D$2:$D$61,MATCH(B19,'3.1 Coordenadores'!$A$2:$A$61,0)),"")</f>
        <v/>
      </c>
      <c r="I19" t="str">
        <f t="shared" si="0"/>
        <v/>
      </c>
      <c r="J19" t="str">
        <f t="shared" si="1"/>
        <v/>
      </c>
      <c r="K19" t="str">
        <f t="shared" si="2"/>
        <v/>
      </c>
    </row>
    <row r="20" spans="3:11" x14ac:dyDescent="0.35">
      <c r="C20" s="15"/>
      <c r="D20" s="15"/>
      <c r="G20" t="str">
        <f>IFERROR(INDEX('2.1 Cursos'!$B$2:$B$61,MATCH(A20,'2.1 Cursos'!$A$2:$A$61,0)),"")</f>
        <v/>
      </c>
      <c r="H20" t="str">
        <f>IFERROR(INDEX('3.1 Coordenadores'!$D$2:$D$61,MATCH(B20,'3.1 Coordenadores'!$A$2:$A$61,0)),"")</f>
        <v/>
      </c>
      <c r="I20" t="str">
        <f t="shared" si="0"/>
        <v/>
      </c>
      <c r="J20" t="str">
        <f t="shared" si="1"/>
        <v/>
      </c>
      <c r="K20" t="str">
        <f t="shared" si="2"/>
        <v/>
      </c>
    </row>
    <row r="21" spans="3:11" x14ac:dyDescent="0.35">
      <c r="C21" s="15"/>
      <c r="D21" s="15"/>
      <c r="G21" t="str">
        <f>IFERROR(INDEX('2.1 Cursos'!$B$2:$B$61,MATCH(A21,'2.1 Cursos'!$A$2:$A$61,0)),"")</f>
        <v/>
      </c>
      <c r="H21" t="str">
        <f>IFERROR(INDEX('3.1 Coordenadores'!$D$2:$D$61,MATCH(B21,'3.1 Coordenadores'!$A$2:$A$61,0)),"")</f>
        <v/>
      </c>
      <c r="I21" t="str">
        <f t="shared" si="0"/>
        <v/>
      </c>
      <c r="J21" t="str">
        <f t="shared" si="1"/>
        <v/>
      </c>
      <c r="K21" t="str">
        <f t="shared" si="2"/>
        <v/>
      </c>
    </row>
    <row r="22" spans="3:11" x14ac:dyDescent="0.35">
      <c r="C22" s="15"/>
      <c r="D22" s="15"/>
      <c r="G22" t="str">
        <f>IFERROR(INDEX('2.1 Cursos'!$B$2:$B$61,MATCH(A22,'2.1 Cursos'!$A$2:$A$61,0)),"")</f>
        <v/>
      </c>
      <c r="H22" t="str">
        <f>IFERROR(INDEX('3.1 Coordenadores'!$D$2:$D$61,MATCH(B22,'3.1 Coordenadores'!$A$2:$A$61,0)),"")</f>
        <v/>
      </c>
      <c r="I22" t="str">
        <f t="shared" si="0"/>
        <v/>
      </c>
      <c r="J22" t="str">
        <f t="shared" si="1"/>
        <v/>
      </c>
      <c r="K22" t="str">
        <f t="shared" si="2"/>
        <v/>
      </c>
    </row>
    <row r="23" spans="3:11" x14ac:dyDescent="0.35">
      <c r="C23" s="15"/>
      <c r="D23" s="15"/>
      <c r="G23" t="str">
        <f>IFERROR(INDEX('2.1 Cursos'!$B$2:$B$61,MATCH(A23,'2.1 Cursos'!$A$2:$A$61,0)),"")</f>
        <v/>
      </c>
      <c r="H23" t="str">
        <f>IFERROR(INDEX('3.1 Coordenadores'!$D$2:$D$61,MATCH(B23,'3.1 Coordenadores'!$A$2:$A$61,0)),"")</f>
        <v/>
      </c>
      <c r="I23" t="str">
        <f t="shared" si="0"/>
        <v/>
      </c>
      <c r="J23" t="str">
        <f t="shared" si="1"/>
        <v/>
      </c>
      <c r="K23" t="str">
        <f t="shared" si="2"/>
        <v/>
      </c>
    </row>
    <row r="24" spans="3:11" x14ac:dyDescent="0.35">
      <c r="C24" s="15"/>
      <c r="D24" s="15"/>
      <c r="G24" t="str">
        <f>IFERROR(INDEX('2.1 Cursos'!$B$2:$B$61,MATCH(A24,'2.1 Cursos'!$A$2:$A$61,0)),"")</f>
        <v/>
      </c>
      <c r="H24" t="str">
        <f>IFERROR(INDEX('3.1 Coordenadores'!$D$2:$D$61,MATCH(B24,'3.1 Coordenadores'!$A$2:$A$61,0)),"")</f>
        <v/>
      </c>
      <c r="I24" t="str">
        <f t="shared" si="0"/>
        <v/>
      </c>
      <c r="J24" t="str">
        <f t="shared" si="1"/>
        <v/>
      </c>
      <c r="K24" t="str">
        <f t="shared" si="2"/>
        <v/>
      </c>
    </row>
    <row r="25" spans="3:11" x14ac:dyDescent="0.35">
      <c r="C25" s="15"/>
      <c r="D25" s="15"/>
      <c r="G25" t="str">
        <f>IFERROR(INDEX('2.1 Cursos'!$B$2:$B$61,MATCH(A25,'2.1 Cursos'!$A$2:$A$61,0)),"")</f>
        <v/>
      </c>
      <c r="H25" t="str">
        <f>IFERROR(INDEX('3.1 Coordenadores'!$D$2:$D$61,MATCH(B25,'3.1 Coordenadores'!$A$2:$A$61,0)),"")</f>
        <v/>
      </c>
      <c r="I25" t="str">
        <f t="shared" si="0"/>
        <v/>
      </c>
      <c r="J25" t="str">
        <f t="shared" si="1"/>
        <v/>
      </c>
      <c r="K25" t="str">
        <f t="shared" si="2"/>
        <v/>
      </c>
    </row>
    <row r="26" spans="3:11" x14ac:dyDescent="0.35">
      <c r="C26" s="15"/>
      <c r="D26" s="15"/>
      <c r="G26" t="str">
        <f>IFERROR(INDEX('2.1 Cursos'!$B$2:$B$61,MATCH(A26,'2.1 Cursos'!$A$2:$A$61,0)),"")</f>
        <v/>
      </c>
      <c r="H26" t="str">
        <f>IFERROR(INDEX('3.1 Coordenadores'!$D$2:$D$61,MATCH(B26,'3.1 Coordenadores'!$A$2:$A$61,0)),"")</f>
        <v/>
      </c>
      <c r="I26" t="str">
        <f t="shared" si="0"/>
        <v/>
      </c>
      <c r="J26" t="str">
        <f t="shared" si="1"/>
        <v/>
      </c>
      <c r="K26" t="str">
        <f t="shared" si="2"/>
        <v/>
      </c>
    </row>
    <row r="27" spans="3:11" x14ac:dyDescent="0.35">
      <c r="C27" s="15"/>
      <c r="D27" s="15"/>
      <c r="G27" t="str">
        <f>IFERROR(INDEX('2.1 Cursos'!$B$2:$B$61,MATCH(A27,'2.1 Cursos'!$A$2:$A$61,0)),"")</f>
        <v/>
      </c>
      <c r="H27" t="str">
        <f>IFERROR(INDEX('3.1 Coordenadores'!$D$2:$D$61,MATCH(B27,'3.1 Coordenadores'!$A$2:$A$61,0)),"")</f>
        <v/>
      </c>
      <c r="I27" t="str">
        <f t="shared" si="0"/>
        <v/>
      </c>
      <c r="J27" t="str">
        <f t="shared" si="1"/>
        <v/>
      </c>
      <c r="K27" t="str">
        <f t="shared" si="2"/>
        <v/>
      </c>
    </row>
    <row r="28" spans="3:11" x14ac:dyDescent="0.35">
      <c r="C28" s="15"/>
      <c r="D28" s="15"/>
      <c r="G28" t="str">
        <f>IFERROR(INDEX('2.1 Cursos'!$B$2:$B$61,MATCH(A28,'2.1 Cursos'!$A$2:$A$61,0)),"")</f>
        <v/>
      </c>
      <c r="H28" t="str">
        <f>IFERROR(INDEX('3.1 Coordenadores'!$D$2:$D$61,MATCH(B28,'3.1 Coordenadores'!$A$2:$A$61,0)),"")</f>
        <v/>
      </c>
      <c r="I28" t="str">
        <f t="shared" si="0"/>
        <v/>
      </c>
      <c r="J28" t="str">
        <f t="shared" si="1"/>
        <v/>
      </c>
      <c r="K28" t="str">
        <f t="shared" si="2"/>
        <v/>
      </c>
    </row>
    <row r="29" spans="3:11" x14ac:dyDescent="0.35">
      <c r="C29" s="15"/>
      <c r="D29" s="15"/>
      <c r="G29" t="str">
        <f>IFERROR(INDEX('2.1 Cursos'!$B$2:$B$61,MATCH(A29,'2.1 Cursos'!$A$2:$A$61,0)),"")</f>
        <v/>
      </c>
      <c r="H29" t="str">
        <f>IFERROR(INDEX('3.1 Coordenadores'!$D$2:$D$61,MATCH(B29,'3.1 Coordenadores'!$A$2:$A$61,0)),"")</f>
        <v/>
      </c>
      <c r="I29" t="str">
        <f t="shared" si="0"/>
        <v/>
      </c>
      <c r="J29" t="str">
        <f t="shared" si="1"/>
        <v/>
      </c>
      <c r="K29" t="str">
        <f t="shared" si="2"/>
        <v/>
      </c>
    </row>
    <row r="30" spans="3:11" x14ac:dyDescent="0.35">
      <c r="C30" s="15"/>
      <c r="D30" s="15"/>
      <c r="G30" t="str">
        <f>IFERROR(INDEX('2.1 Cursos'!$B$2:$B$61,MATCH(A30,'2.1 Cursos'!$A$2:$A$61,0)),"")</f>
        <v/>
      </c>
      <c r="H30" t="str">
        <f>IFERROR(INDEX('3.1 Coordenadores'!$D$2:$D$61,MATCH(B30,'3.1 Coordenadores'!$A$2:$A$61,0)),"")</f>
        <v/>
      </c>
      <c r="I30" t="str">
        <f t="shared" si="0"/>
        <v/>
      </c>
      <c r="J30" t="str">
        <f t="shared" si="1"/>
        <v/>
      </c>
      <c r="K30" t="str">
        <f t="shared" si="2"/>
        <v/>
      </c>
    </row>
    <row r="31" spans="3:11" x14ac:dyDescent="0.35">
      <c r="C31" s="15"/>
      <c r="D31" s="15"/>
      <c r="G31" t="str">
        <f>IFERROR(INDEX('2.1 Cursos'!$B$2:$B$61,MATCH(A31,'2.1 Cursos'!$A$2:$A$61,0)),"")</f>
        <v/>
      </c>
      <c r="H31" t="str">
        <f>IFERROR(INDEX('3.1 Coordenadores'!$D$2:$D$61,MATCH(B31,'3.1 Coordenadores'!$A$2:$A$61,0)),"")</f>
        <v/>
      </c>
      <c r="I31" t="str">
        <f t="shared" si="0"/>
        <v/>
      </c>
      <c r="J31" t="str">
        <f t="shared" si="1"/>
        <v/>
      </c>
      <c r="K31" t="str">
        <f t="shared" si="2"/>
        <v/>
      </c>
    </row>
    <row r="32" spans="3:11" x14ac:dyDescent="0.35">
      <c r="C32" s="15"/>
      <c r="D32" s="15"/>
      <c r="G32" t="str">
        <f>IFERROR(INDEX('2.1 Cursos'!$B$2:$B$61,MATCH(A32,'2.1 Cursos'!$A$2:$A$61,0)),"")</f>
        <v/>
      </c>
      <c r="H32" t="str">
        <f>IFERROR(INDEX('3.1 Coordenadores'!$D$2:$D$61,MATCH(B32,'3.1 Coordenadores'!$A$2:$A$61,0)),"")</f>
        <v/>
      </c>
      <c r="I32" t="str">
        <f t="shared" si="0"/>
        <v/>
      </c>
      <c r="J32" t="str">
        <f t="shared" si="1"/>
        <v/>
      </c>
      <c r="K32" t="str">
        <f t="shared" si="2"/>
        <v/>
      </c>
    </row>
    <row r="33" spans="3:11" x14ac:dyDescent="0.35">
      <c r="C33" s="15"/>
      <c r="D33" s="15"/>
      <c r="G33" t="str">
        <f>IFERROR(INDEX('2.1 Cursos'!$B$2:$B$61,MATCH(A33,'2.1 Cursos'!$A$2:$A$61,0)),"")</f>
        <v/>
      </c>
      <c r="H33" t="str">
        <f>IFERROR(INDEX('3.1 Coordenadores'!$D$2:$D$61,MATCH(B33,'3.1 Coordenadores'!$A$2:$A$61,0)),"")</f>
        <v/>
      </c>
      <c r="I33" t="str">
        <f t="shared" si="0"/>
        <v/>
      </c>
      <c r="J33" t="str">
        <f t="shared" si="1"/>
        <v/>
      </c>
      <c r="K33" t="str">
        <f t="shared" si="2"/>
        <v/>
      </c>
    </row>
    <row r="34" spans="3:11" x14ac:dyDescent="0.35">
      <c r="C34" s="15"/>
      <c r="D34" s="15"/>
      <c r="G34" t="str">
        <f>IFERROR(INDEX('2.1 Cursos'!$B$2:$B$61,MATCH(A34,'2.1 Cursos'!$A$2:$A$61,0)),"")</f>
        <v/>
      </c>
      <c r="H34" t="str">
        <f>IFERROR(INDEX('3.1 Coordenadores'!$D$2:$D$61,MATCH(B34,'3.1 Coordenadores'!$A$2:$A$61,0)),"")</f>
        <v/>
      </c>
      <c r="I34" t="str">
        <f t="shared" ref="I34:I61" si="3">IF(C34="","",TEXT(C34,"yyyy-mm-dd"))</f>
        <v/>
      </c>
      <c r="J34" t="str">
        <f t="shared" ref="J34:J61" si="4">IF(D34="","",TEXT(D34,"yyyy-mm-dd"))</f>
        <v/>
      </c>
      <c r="K34" t="str">
        <f t="shared" ref="K34:K61" si="5">IF(E34="Sim","true",IF(E34="Não","false",""))</f>
        <v/>
      </c>
    </row>
    <row r="35" spans="3:11" x14ac:dyDescent="0.35">
      <c r="C35" s="15"/>
      <c r="D35" s="15"/>
      <c r="G35" t="str">
        <f>IFERROR(INDEX('2.1 Cursos'!$B$2:$B$61,MATCH(A35,'2.1 Cursos'!$A$2:$A$61,0)),"")</f>
        <v/>
      </c>
      <c r="H35" t="str">
        <f>IFERROR(INDEX('3.1 Coordenadores'!$D$2:$D$61,MATCH(B35,'3.1 Coordenadores'!$A$2:$A$61,0)),"")</f>
        <v/>
      </c>
      <c r="I35" t="str">
        <f t="shared" si="3"/>
        <v/>
      </c>
      <c r="J35" t="str">
        <f t="shared" si="4"/>
        <v/>
      </c>
      <c r="K35" t="str">
        <f t="shared" si="5"/>
        <v/>
      </c>
    </row>
    <row r="36" spans="3:11" x14ac:dyDescent="0.35">
      <c r="C36" s="15"/>
      <c r="D36" s="15"/>
      <c r="G36" t="str">
        <f>IFERROR(INDEX('2.1 Cursos'!$B$2:$B$61,MATCH(A36,'2.1 Cursos'!$A$2:$A$61,0)),"")</f>
        <v/>
      </c>
      <c r="H36" t="str">
        <f>IFERROR(INDEX('3.1 Coordenadores'!$D$2:$D$61,MATCH(B36,'3.1 Coordenadores'!$A$2:$A$61,0)),"")</f>
        <v/>
      </c>
      <c r="I36" t="str">
        <f t="shared" si="3"/>
        <v/>
      </c>
      <c r="J36" t="str">
        <f t="shared" si="4"/>
        <v/>
      </c>
      <c r="K36" t="str">
        <f t="shared" si="5"/>
        <v/>
      </c>
    </row>
    <row r="37" spans="3:11" x14ac:dyDescent="0.35">
      <c r="C37" s="15"/>
      <c r="D37" s="15"/>
      <c r="G37" t="str">
        <f>IFERROR(INDEX('2.1 Cursos'!$B$2:$B$61,MATCH(A37,'2.1 Cursos'!$A$2:$A$61,0)),"")</f>
        <v/>
      </c>
      <c r="H37" t="str">
        <f>IFERROR(INDEX('3.1 Coordenadores'!$D$2:$D$61,MATCH(B37,'3.1 Coordenadores'!$A$2:$A$61,0)),"")</f>
        <v/>
      </c>
      <c r="I37" t="str">
        <f t="shared" si="3"/>
        <v/>
      </c>
      <c r="J37" t="str">
        <f t="shared" si="4"/>
        <v/>
      </c>
      <c r="K37" t="str">
        <f t="shared" si="5"/>
        <v/>
      </c>
    </row>
    <row r="38" spans="3:11" x14ac:dyDescent="0.35">
      <c r="C38" s="15"/>
      <c r="D38" s="15"/>
      <c r="G38" t="str">
        <f>IFERROR(INDEX('2.1 Cursos'!$B$2:$B$61,MATCH(A38,'2.1 Cursos'!$A$2:$A$61,0)),"")</f>
        <v/>
      </c>
      <c r="H38" t="str">
        <f>IFERROR(INDEX('3.1 Coordenadores'!$D$2:$D$61,MATCH(B38,'3.1 Coordenadores'!$A$2:$A$61,0)),"")</f>
        <v/>
      </c>
      <c r="I38" t="str">
        <f t="shared" si="3"/>
        <v/>
      </c>
      <c r="J38" t="str">
        <f t="shared" si="4"/>
        <v/>
      </c>
      <c r="K38" t="str">
        <f t="shared" si="5"/>
        <v/>
      </c>
    </row>
    <row r="39" spans="3:11" x14ac:dyDescent="0.35">
      <c r="C39" s="15"/>
      <c r="D39" s="15"/>
      <c r="G39" t="str">
        <f>IFERROR(INDEX('2.1 Cursos'!$B$2:$B$61,MATCH(A39,'2.1 Cursos'!$A$2:$A$61,0)),"")</f>
        <v/>
      </c>
      <c r="H39" t="str">
        <f>IFERROR(INDEX('3.1 Coordenadores'!$D$2:$D$61,MATCH(B39,'3.1 Coordenadores'!$A$2:$A$61,0)),"")</f>
        <v/>
      </c>
      <c r="I39" t="str">
        <f t="shared" si="3"/>
        <v/>
      </c>
      <c r="J39" t="str">
        <f t="shared" si="4"/>
        <v/>
      </c>
      <c r="K39" t="str">
        <f t="shared" si="5"/>
        <v/>
      </c>
    </row>
    <row r="40" spans="3:11" x14ac:dyDescent="0.35">
      <c r="C40" s="15"/>
      <c r="D40" s="15"/>
      <c r="G40" t="str">
        <f>IFERROR(INDEX('2.1 Cursos'!$B$2:$B$61,MATCH(A40,'2.1 Cursos'!$A$2:$A$61,0)),"")</f>
        <v/>
      </c>
      <c r="H40" t="str">
        <f>IFERROR(INDEX('3.1 Coordenadores'!$D$2:$D$61,MATCH(B40,'3.1 Coordenadores'!$A$2:$A$61,0)),"")</f>
        <v/>
      </c>
      <c r="I40" t="str">
        <f t="shared" si="3"/>
        <v/>
      </c>
      <c r="J40" t="str">
        <f t="shared" si="4"/>
        <v/>
      </c>
      <c r="K40" t="str">
        <f t="shared" si="5"/>
        <v/>
      </c>
    </row>
    <row r="41" spans="3:11" x14ac:dyDescent="0.35">
      <c r="C41" s="15"/>
      <c r="D41" s="15"/>
      <c r="G41" t="str">
        <f>IFERROR(INDEX('2.1 Cursos'!$B$2:$B$61,MATCH(A41,'2.1 Cursos'!$A$2:$A$61,0)),"")</f>
        <v/>
      </c>
      <c r="H41" t="str">
        <f>IFERROR(INDEX('3.1 Coordenadores'!$D$2:$D$61,MATCH(B41,'3.1 Coordenadores'!$A$2:$A$61,0)),"")</f>
        <v/>
      </c>
      <c r="I41" t="str">
        <f t="shared" si="3"/>
        <v/>
      </c>
      <c r="J41" t="str">
        <f t="shared" si="4"/>
        <v/>
      </c>
      <c r="K41" t="str">
        <f t="shared" si="5"/>
        <v/>
      </c>
    </row>
    <row r="42" spans="3:11" x14ac:dyDescent="0.35">
      <c r="C42" s="15"/>
      <c r="D42" s="15"/>
      <c r="G42" t="str">
        <f>IFERROR(INDEX('2.1 Cursos'!$B$2:$B$61,MATCH(A42,'2.1 Cursos'!$A$2:$A$61,0)),"")</f>
        <v/>
      </c>
      <c r="H42" t="str">
        <f>IFERROR(INDEX('3.1 Coordenadores'!$D$2:$D$61,MATCH(B42,'3.1 Coordenadores'!$A$2:$A$61,0)),"")</f>
        <v/>
      </c>
      <c r="I42" t="str">
        <f t="shared" si="3"/>
        <v/>
      </c>
      <c r="J42" t="str">
        <f t="shared" si="4"/>
        <v/>
      </c>
      <c r="K42" t="str">
        <f t="shared" si="5"/>
        <v/>
      </c>
    </row>
    <row r="43" spans="3:11" x14ac:dyDescent="0.35">
      <c r="C43" s="15"/>
      <c r="D43" s="15"/>
      <c r="G43" t="str">
        <f>IFERROR(INDEX('2.1 Cursos'!$B$2:$B$61,MATCH(A43,'2.1 Cursos'!$A$2:$A$61,0)),"")</f>
        <v/>
      </c>
      <c r="H43" t="str">
        <f>IFERROR(INDEX('3.1 Coordenadores'!$D$2:$D$61,MATCH(B43,'3.1 Coordenadores'!$A$2:$A$61,0)),"")</f>
        <v/>
      </c>
      <c r="I43" t="str">
        <f t="shared" si="3"/>
        <v/>
      </c>
      <c r="J43" t="str">
        <f t="shared" si="4"/>
        <v/>
      </c>
      <c r="K43" t="str">
        <f t="shared" si="5"/>
        <v/>
      </c>
    </row>
    <row r="44" spans="3:11" x14ac:dyDescent="0.35">
      <c r="C44" s="15"/>
      <c r="D44" s="15"/>
      <c r="G44" t="str">
        <f>IFERROR(INDEX('2.1 Cursos'!$B$2:$B$61,MATCH(A44,'2.1 Cursos'!$A$2:$A$61,0)),"")</f>
        <v/>
      </c>
      <c r="H44" t="str">
        <f>IFERROR(INDEX('3.1 Coordenadores'!$D$2:$D$61,MATCH(B44,'3.1 Coordenadores'!$A$2:$A$61,0)),"")</f>
        <v/>
      </c>
      <c r="I44" t="str">
        <f t="shared" si="3"/>
        <v/>
      </c>
      <c r="J44" t="str">
        <f t="shared" si="4"/>
        <v/>
      </c>
      <c r="K44" t="str">
        <f t="shared" si="5"/>
        <v/>
      </c>
    </row>
    <row r="45" spans="3:11" x14ac:dyDescent="0.35">
      <c r="C45" s="15"/>
      <c r="D45" s="15"/>
      <c r="G45" t="str">
        <f>IFERROR(INDEX('2.1 Cursos'!$B$2:$B$61,MATCH(A45,'2.1 Cursos'!$A$2:$A$61,0)),"")</f>
        <v/>
      </c>
      <c r="H45" t="str">
        <f>IFERROR(INDEX('3.1 Coordenadores'!$D$2:$D$61,MATCH(B45,'3.1 Coordenadores'!$A$2:$A$61,0)),"")</f>
        <v/>
      </c>
      <c r="I45" t="str">
        <f t="shared" si="3"/>
        <v/>
      </c>
      <c r="J45" t="str">
        <f t="shared" si="4"/>
        <v/>
      </c>
      <c r="K45" t="str">
        <f t="shared" si="5"/>
        <v/>
      </c>
    </row>
    <row r="46" spans="3:11" x14ac:dyDescent="0.35">
      <c r="C46" s="15"/>
      <c r="D46" s="15"/>
      <c r="G46" t="str">
        <f>IFERROR(INDEX('2.1 Cursos'!$B$2:$B$61,MATCH(A46,'2.1 Cursos'!$A$2:$A$61,0)),"")</f>
        <v/>
      </c>
      <c r="H46" t="str">
        <f>IFERROR(INDEX('3.1 Coordenadores'!$D$2:$D$61,MATCH(B46,'3.1 Coordenadores'!$A$2:$A$61,0)),"")</f>
        <v/>
      </c>
      <c r="I46" t="str">
        <f t="shared" si="3"/>
        <v/>
      </c>
      <c r="J46" t="str">
        <f t="shared" si="4"/>
        <v/>
      </c>
      <c r="K46" t="str">
        <f t="shared" si="5"/>
        <v/>
      </c>
    </row>
    <row r="47" spans="3:11" x14ac:dyDescent="0.35">
      <c r="C47" s="15"/>
      <c r="D47" s="15"/>
      <c r="G47" t="str">
        <f>IFERROR(INDEX('2.1 Cursos'!$B$2:$B$61,MATCH(A47,'2.1 Cursos'!$A$2:$A$61,0)),"")</f>
        <v/>
      </c>
      <c r="H47" t="str">
        <f>IFERROR(INDEX('3.1 Coordenadores'!$D$2:$D$61,MATCH(B47,'3.1 Coordenadores'!$A$2:$A$61,0)),"")</f>
        <v/>
      </c>
      <c r="I47" t="str">
        <f t="shared" si="3"/>
        <v/>
      </c>
      <c r="J47" t="str">
        <f t="shared" si="4"/>
        <v/>
      </c>
      <c r="K47" t="str">
        <f t="shared" si="5"/>
        <v/>
      </c>
    </row>
    <row r="48" spans="3:11" x14ac:dyDescent="0.35">
      <c r="C48" s="15"/>
      <c r="D48" s="15"/>
      <c r="G48" t="str">
        <f>IFERROR(INDEX('2.1 Cursos'!$B$2:$B$61,MATCH(A48,'2.1 Cursos'!$A$2:$A$61,0)),"")</f>
        <v/>
      </c>
      <c r="H48" t="str">
        <f>IFERROR(INDEX('3.1 Coordenadores'!$D$2:$D$61,MATCH(B48,'3.1 Coordenadores'!$A$2:$A$61,0)),"")</f>
        <v/>
      </c>
      <c r="I48" t="str">
        <f t="shared" si="3"/>
        <v/>
      </c>
      <c r="J48" t="str">
        <f t="shared" si="4"/>
        <v/>
      </c>
      <c r="K48" t="str">
        <f t="shared" si="5"/>
        <v/>
      </c>
    </row>
    <row r="49" spans="3:11" x14ac:dyDescent="0.35">
      <c r="C49" s="15"/>
      <c r="D49" s="15"/>
      <c r="G49" t="str">
        <f>IFERROR(INDEX('2.1 Cursos'!$B$2:$B$61,MATCH(A49,'2.1 Cursos'!$A$2:$A$61,0)),"")</f>
        <v/>
      </c>
      <c r="H49" t="str">
        <f>IFERROR(INDEX('3.1 Coordenadores'!$D$2:$D$61,MATCH(B49,'3.1 Coordenadores'!$A$2:$A$61,0)),"")</f>
        <v/>
      </c>
      <c r="I49" t="str">
        <f t="shared" si="3"/>
        <v/>
      </c>
      <c r="J49" t="str">
        <f t="shared" si="4"/>
        <v/>
      </c>
      <c r="K49" t="str">
        <f t="shared" si="5"/>
        <v/>
      </c>
    </row>
    <row r="50" spans="3:11" x14ac:dyDescent="0.35">
      <c r="C50" s="15"/>
      <c r="D50" s="15"/>
      <c r="G50" t="str">
        <f>IFERROR(INDEX('2.1 Cursos'!$B$2:$B$61,MATCH(A50,'2.1 Cursos'!$A$2:$A$61,0)),"")</f>
        <v/>
      </c>
      <c r="H50" t="str">
        <f>IFERROR(INDEX('3.1 Coordenadores'!$D$2:$D$61,MATCH(B50,'3.1 Coordenadores'!$A$2:$A$61,0)),"")</f>
        <v/>
      </c>
      <c r="I50" t="str">
        <f t="shared" si="3"/>
        <v/>
      </c>
      <c r="J50" t="str">
        <f t="shared" si="4"/>
        <v/>
      </c>
      <c r="K50" t="str">
        <f t="shared" si="5"/>
        <v/>
      </c>
    </row>
    <row r="51" spans="3:11" x14ac:dyDescent="0.35">
      <c r="C51" s="15"/>
      <c r="D51" s="15"/>
      <c r="G51" t="str">
        <f>IFERROR(INDEX('2.1 Cursos'!$B$2:$B$61,MATCH(A51,'2.1 Cursos'!$A$2:$A$61,0)),"")</f>
        <v/>
      </c>
      <c r="H51" t="str">
        <f>IFERROR(INDEX('3.1 Coordenadores'!$D$2:$D$61,MATCH(B51,'3.1 Coordenadores'!$A$2:$A$61,0)),"")</f>
        <v/>
      </c>
      <c r="I51" t="str">
        <f t="shared" si="3"/>
        <v/>
      </c>
      <c r="J51" t="str">
        <f t="shared" si="4"/>
        <v/>
      </c>
      <c r="K51" t="str">
        <f t="shared" si="5"/>
        <v/>
      </c>
    </row>
    <row r="52" spans="3:11" x14ac:dyDescent="0.35">
      <c r="C52" s="15"/>
      <c r="D52" s="15"/>
      <c r="G52" t="str">
        <f>IFERROR(INDEX('2.1 Cursos'!$B$2:$B$61,MATCH(A52,'2.1 Cursos'!$A$2:$A$61,0)),"")</f>
        <v/>
      </c>
      <c r="H52" t="str">
        <f>IFERROR(INDEX('3.1 Coordenadores'!$D$2:$D$61,MATCH(B52,'3.1 Coordenadores'!$A$2:$A$61,0)),"")</f>
        <v/>
      </c>
      <c r="I52" t="str">
        <f t="shared" si="3"/>
        <v/>
      </c>
      <c r="J52" t="str">
        <f t="shared" si="4"/>
        <v/>
      </c>
      <c r="K52" t="str">
        <f t="shared" si="5"/>
        <v/>
      </c>
    </row>
    <row r="53" spans="3:11" x14ac:dyDescent="0.35">
      <c r="C53" s="15"/>
      <c r="D53" s="15"/>
      <c r="G53" t="str">
        <f>IFERROR(INDEX('2.1 Cursos'!$B$2:$B$61,MATCH(A53,'2.1 Cursos'!$A$2:$A$61,0)),"")</f>
        <v/>
      </c>
      <c r="H53" t="str">
        <f>IFERROR(INDEX('3.1 Coordenadores'!$D$2:$D$61,MATCH(B53,'3.1 Coordenadores'!$A$2:$A$61,0)),"")</f>
        <v/>
      </c>
      <c r="I53" t="str">
        <f t="shared" si="3"/>
        <v/>
      </c>
      <c r="J53" t="str">
        <f t="shared" si="4"/>
        <v/>
      </c>
      <c r="K53" t="str">
        <f t="shared" si="5"/>
        <v/>
      </c>
    </row>
    <row r="54" spans="3:11" x14ac:dyDescent="0.35">
      <c r="C54" s="15"/>
      <c r="D54" s="15"/>
      <c r="G54" t="str">
        <f>IFERROR(INDEX('2.1 Cursos'!$B$2:$B$61,MATCH(A54,'2.1 Cursos'!$A$2:$A$61,0)),"")</f>
        <v/>
      </c>
      <c r="H54" t="str">
        <f>IFERROR(INDEX('3.1 Coordenadores'!$D$2:$D$61,MATCH(B54,'3.1 Coordenadores'!$A$2:$A$61,0)),"")</f>
        <v/>
      </c>
      <c r="I54" t="str">
        <f t="shared" si="3"/>
        <v/>
      </c>
      <c r="J54" t="str">
        <f t="shared" si="4"/>
        <v/>
      </c>
      <c r="K54" t="str">
        <f t="shared" si="5"/>
        <v/>
      </c>
    </row>
    <row r="55" spans="3:11" x14ac:dyDescent="0.35">
      <c r="C55" s="15"/>
      <c r="D55" s="15"/>
      <c r="G55" t="str">
        <f>IFERROR(INDEX('2.1 Cursos'!$B$2:$B$61,MATCH(A55,'2.1 Cursos'!$A$2:$A$61,0)),"")</f>
        <v/>
      </c>
      <c r="H55" t="str">
        <f>IFERROR(INDEX('3.1 Coordenadores'!$D$2:$D$61,MATCH(B55,'3.1 Coordenadores'!$A$2:$A$61,0)),"")</f>
        <v/>
      </c>
      <c r="I55" t="str">
        <f t="shared" si="3"/>
        <v/>
      </c>
      <c r="J55" t="str">
        <f t="shared" si="4"/>
        <v/>
      </c>
      <c r="K55" t="str">
        <f t="shared" si="5"/>
        <v/>
      </c>
    </row>
    <row r="56" spans="3:11" x14ac:dyDescent="0.35">
      <c r="C56" s="15"/>
      <c r="D56" s="15"/>
      <c r="G56" t="str">
        <f>IFERROR(INDEX('2.1 Cursos'!$B$2:$B$61,MATCH(A56,'2.1 Cursos'!$A$2:$A$61,0)),"")</f>
        <v/>
      </c>
      <c r="H56" t="str">
        <f>IFERROR(INDEX('3.1 Coordenadores'!$D$2:$D$61,MATCH(B56,'3.1 Coordenadores'!$A$2:$A$61,0)),"")</f>
        <v/>
      </c>
      <c r="I56" t="str">
        <f t="shared" si="3"/>
        <v/>
      </c>
      <c r="J56" t="str">
        <f t="shared" si="4"/>
        <v/>
      </c>
      <c r="K56" t="str">
        <f t="shared" si="5"/>
        <v/>
      </c>
    </row>
    <row r="57" spans="3:11" x14ac:dyDescent="0.35">
      <c r="C57" s="15"/>
      <c r="D57" s="15"/>
      <c r="G57" t="str">
        <f>IFERROR(INDEX('2.1 Cursos'!$B$2:$B$61,MATCH(A57,'2.1 Cursos'!$A$2:$A$61,0)),"")</f>
        <v/>
      </c>
      <c r="H57" t="str">
        <f>IFERROR(INDEX('3.1 Coordenadores'!$D$2:$D$61,MATCH(B57,'3.1 Coordenadores'!$A$2:$A$61,0)),"")</f>
        <v/>
      </c>
      <c r="I57" t="str">
        <f t="shared" si="3"/>
        <v/>
      </c>
      <c r="J57" t="str">
        <f t="shared" si="4"/>
        <v/>
      </c>
      <c r="K57" t="str">
        <f t="shared" si="5"/>
        <v/>
      </c>
    </row>
    <row r="58" spans="3:11" x14ac:dyDescent="0.35">
      <c r="C58" s="15"/>
      <c r="D58" s="15"/>
      <c r="G58" t="str">
        <f>IFERROR(INDEX('2.1 Cursos'!$B$2:$B$61,MATCH(A58,'2.1 Cursos'!$A$2:$A$61,0)),"")</f>
        <v/>
      </c>
      <c r="H58" t="str">
        <f>IFERROR(INDEX('3.1 Coordenadores'!$D$2:$D$61,MATCH(B58,'3.1 Coordenadores'!$A$2:$A$61,0)),"")</f>
        <v/>
      </c>
      <c r="I58" t="str">
        <f t="shared" si="3"/>
        <v/>
      </c>
      <c r="J58" t="str">
        <f t="shared" si="4"/>
        <v/>
      </c>
      <c r="K58" t="str">
        <f t="shared" si="5"/>
        <v/>
      </c>
    </row>
    <row r="59" spans="3:11" x14ac:dyDescent="0.35">
      <c r="C59" s="15"/>
      <c r="D59" s="15"/>
      <c r="G59" t="str">
        <f>IFERROR(INDEX('2.1 Cursos'!$B$2:$B$61,MATCH(A59,'2.1 Cursos'!$A$2:$A$61,0)),"")</f>
        <v/>
      </c>
      <c r="H59" t="str">
        <f>IFERROR(INDEX('3.1 Coordenadores'!$D$2:$D$61,MATCH(B59,'3.1 Coordenadores'!$A$2:$A$61,0)),"")</f>
        <v/>
      </c>
      <c r="I59" t="str">
        <f t="shared" si="3"/>
        <v/>
      </c>
      <c r="J59" t="str">
        <f t="shared" si="4"/>
        <v/>
      </c>
      <c r="K59" t="str">
        <f t="shared" si="5"/>
        <v/>
      </c>
    </row>
    <row r="60" spans="3:11" x14ac:dyDescent="0.35">
      <c r="C60" s="15"/>
      <c r="D60" s="15"/>
      <c r="G60" t="str">
        <f>IFERROR(INDEX('2.1 Cursos'!$B$2:$B$61,MATCH(A60,'2.1 Cursos'!$A$2:$A$61,0)),"")</f>
        <v/>
      </c>
      <c r="H60" t="str">
        <f>IFERROR(INDEX('3.1 Coordenadores'!$D$2:$D$61,MATCH(B60,'3.1 Coordenadores'!$A$2:$A$61,0)),"")</f>
        <v/>
      </c>
      <c r="I60" t="str">
        <f t="shared" si="3"/>
        <v/>
      </c>
      <c r="J60" t="str">
        <f t="shared" si="4"/>
        <v/>
      </c>
      <c r="K60" t="str">
        <f t="shared" si="5"/>
        <v/>
      </c>
    </row>
    <row r="61" spans="3:11" x14ac:dyDescent="0.35">
      <c r="C61" s="15"/>
      <c r="D61" s="15"/>
      <c r="G61" t="str">
        <f>IFERROR(INDEX('2.1 Cursos'!$B$2:$B$61,MATCH(A61,'2.1 Cursos'!$A$2:$A$61,0)),"")</f>
        <v/>
      </c>
      <c r="H61" t="str">
        <f>IFERROR(INDEX('3.1 Coordenadores'!$D$2:$D$61,MATCH(B61,'3.1 Coordenadores'!$A$2:$A$61,0)),"")</f>
        <v/>
      </c>
      <c r="I61" t="str">
        <f t="shared" si="3"/>
        <v/>
      </c>
      <c r="J61" t="str">
        <f t="shared" si="4"/>
        <v/>
      </c>
      <c r="K61" t="str">
        <f t="shared" si="5"/>
        <v/>
      </c>
    </row>
  </sheetData>
  <autoFilter ref="A1:E1"/>
  <conditionalFormatting sqref="A3:A61">
    <cfRule type="expression" dxfId="38" priority="2">
      <formula>AND($A3="",COUNTA($A3:$E3)&gt;0)</formula>
    </cfRule>
  </conditionalFormatting>
  <conditionalFormatting sqref="B3:B61">
    <cfRule type="expression" dxfId="37" priority="3">
      <formula>AND($B3="",COUNTA($A3:$E3)&gt;0)</formula>
    </cfRule>
  </conditionalFormatting>
  <conditionalFormatting sqref="E3:E61">
    <cfRule type="expression" dxfId="36" priority="4">
      <formula>AND($E3="",COUNTA($A3:$E3)&gt;0)</formula>
    </cfRule>
  </conditionalFormatting>
  <dataValidations count="1">
    <dataValidation type="list" allowBlank="1" sqref="E2:E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'2.1 Cursos'!$A$2:$A$61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'3.1 Coordenadores'!$A$2:$A$61</xm:f>
          </x14:formula1>
          <x14:formula2>
            <xm:f>0</xm:f>
          </x14:formula2>
          <xm:sqref>B2:B61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33C00"/>
  </sheetPr>
  <dimension ref="A1:M61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54296875" defaultRowHeight="14.5" x14ac:dyDescent="0.35"/>
  <cols>
    <col min="1" max="1" width="20" customWidth="1"/>
    <col min="2" max="2" width="26" customWidth="1"/>
    <col min="3" max="3" width="18" customWidth="1"/>
    <col min="4" max="5" width="16" customWidth="1"/>
    <col min="6" max="6" width="10" customWidth="1"/>
    <col min="8" max="13" width="16" hidden="1" customWidth="1"/>
  </cols>
  <sheetData>
    <row r="1" spans="1:13" ht="31.5" customHeight="1" x14ac:dyDescent="0.35">
      <c r="A1" s="16" t="s">
        <v>184</v>
      </c>
      <c r="B1" s="16" t="s">
        <v>180</v>
      </c>
      <c r="C1" s="16" t="s">
        <v>185</v>
      </c>
      <c r="D1" s="16" t="s">
        <v>145</v>
      </c>
      <c r="E1" s="16" t="s">
        <v>146</v>
      </c>
      <c r="F1" s="16" t="s">
        <v>53</v>
      </c>
      <c r="H1" s="10" t="s">
        <v>186</v>
      </c>
      <c r="I1" s="10" t="s">
        <v>181</v>
      </c>
      <c r="J1" s="10" t="s">
        <v>187</v>
      </c>
      <c r="K1" s="10" t="s">
        <v>138</v>
      </c>
      <c r="L1" s="10" t="s">
        <v>139</v>
      </c>
      <c r="M1" s="10" t="s">
        <v>46</v>
      </c>
    </row>
    <row r="2" spans="1:13" x14ac:dyDescent="0.35">
      <c r="A2" s="11" t="s">
        <v>178</v>
      </c>
      <c r="B2" s="11" t="s">
        <v>104</v>
      </c>
      <c r="C2" s="11" t="s">
        <v>68</v>
      </c>
      <c r="D2" s="14" t="s">
        <v>142</v>
      </c>
      <c r="E2" s="14"/>
      <c r="F2" s="11" t="s">
        <v>49</v>
      </c>
      <c r="H2" t="str">
        <f t="shared" ref="H2:H33" si="0">IF(A2="","",A2)</f>
        <v>TURDISC-001</v>
      </c>
      <c r="I2" t="str">
        <f>IFERROR(INDEX('1.12 Pessoas'!$F$2:$F$61,MATCH(B2,'1.12 Pessoas'!$A$2:$A$61,0)),"")</f>
        <v>PES-001</v>
      </c>
      <c r="J2" t="str">
        <f>IFERROR(INDEX('1.10 Papeis TD'!$B$2:$B$61,MATCH(C2,'1.10 Papeis TD'!$A$2:$A$61,0)),"")</f>
        <v>ROLE-001</v>
      </c>
      <c r="K2" t="str">
        <f t="shared" ref="K2:K33" si="1">IF(D2="","",TEXT(D2,"yyyy-mm-dd"))</f>
        <v>yyyy-01-01</v>
      </c>
      <c r="L2" t="str">
        <f t="shared" ref="L2:L33" si="2">IF(E2="","",TEXT(E2,"yyyy-mm-dd"))</f>
        <v/>
      </c>
      <c r="M2" t="str">
        <f t="shared" ref="M2:M33" si="3">IF(F2="Sim","true",IF(F2="Não","false",""))</f>
        <v>true</v>
      </c>
    </row>
    <row r="3" spans="1:13" x14ac:dyDescent="0.35">
      <c r="D3" s="15"/>
      <c r="E3" s="15"/>
      <c r="H3" t="str">
        <f t="shared" si="0"/>
        <v/>
      </c>
      <c r="I3" t="str">
        <f>IFERROR(INDEX('1.12 Pessoas'!$F$2:$F$61,MATCH(B3,'1.12 Pessoas'!$A$2:$A$61,0)),"")</f>
        <v/>
      </c>
      <c r="J3" t="str">
        <f>IFERROR(INDEX('1.10 Papeis TD'!$B$2:$B$61,MATCH(C3,'1.10 Papeis TD'!$A$2:$A$61,0)),"")</f>
        <v/>
      </c>
      <c r="K3" t="str">
        <f t="shared" si="1"/>
        <v/>
      </c>
      <c r="L3" t="str">
        <f t="shared" si="2"/>
        <v/>
      </c>
      <c r="M3" t="str">
        <f t="shared" si="3"/>
        <v/>
      </c>
    </row>
    <row r="4" spans="1:13" x14ac:dyDescent="0.35">
      <c r="D4" s="15"/>
      <c r="E4" s="15"/>
      <c r="H4" t="str">
        <f t="shared" si="0"/>
        <v/>
      </c>
      <c r="I4" t="str">
        <f>IFERROR(INDEX('1.12 Pessoas'!$F$2:$F$61,MATCH(B4,'1.12 Pessoas'!$A$2:$A$61,0)),"")</f>
        <v/>
      </c>
      <c r="J4" t="str">
        <f>IFERROR(INDEX('1.10 Papeis TD'!$B$2:$B$61,MATCH(C4,'1.10 Papeis TD'!$A$2:$A$61,0)),"")</f>
        <v/>
      </c>
      <c r="K4" t="str">
        <f t="shared" si="1"/>
        <v/>
      </c>
      <c r="L4" t="str">
        <f t="shared" si="2"/>
        <v/>
      </c>
      <c r="M4" t="str">
        <f t="shared" si="3"/>
        <v/>
      </c>
    </row>
    <row r="5" spans="1:13" x14ac:dyDescent="0.35">
      <c r="D5" s="15"/>
      <c r="E5" s="15"/>
      <c r="H5" t="str">
        <f t="shared" si="0"/>
        <v/>
      </c>
      <c r="I5" t="str">
        <f>IFERROR(INDEX('1.12 Pessoas'!$F$2:$F$61,MATCH(B5,'1.12 Pessoas'!$A$2:$A$61,0)),"")</f>
        <v/>
      </c>
      <c r="J5" t="str">
        <f>IFERROR(INDEX('1.10 Papeis TD'!$B$2:$B$61,MATCH(C5,'1.10 Papeis TD'!$A$2:$A$61,0)),"")</f>
        <v/>
      </c>
      <c r="K5" t="str">
        <f t="shared" si="1"/>
        <v/>
      </c>
      <c r="L5" t="str">
        <f t="shared" si="2"/>
        <v/>
      </c>
      <c r="M5" t="str">
        <f t="shared" si="3"/>
        <v/>
      </c>
    </row>
    <row r="6" spans="1:13" x14ac:dyDescent="0.35">
      <c r="D6" s="15"/>
      <c r="E6" s="15"/>
      <c r="H6" t="str">
        <f t="shared" si="0"/>
        <v/>
      </c>
      <c r="I6" t="str">
        <f>IFERROR(INDEX('1.12 Pessoas'!$F$2:$F$61,MATCH(B6,'1.12 Pessoas'!$A$2:$A$61,0)),"")</f>
        <v/>
      </c>
      <c r="J6" t="str">
        <f>IFERROR(INDEX('1.10 Papeis TD'!$B$2:$B$61,MATCH(C6,'1.10 Papeis TD'!$A$2:$A$61,0)),"")</f>
        <v/>
      </c>
      <c r="K6" t="str">
        <f t="shared" si="1"/>
        <v/>
      </c>
      <c r="L6" t="str">
        <f t="shared" si="2"/>
        <v/>
      </c>
      <c r="M6" t="str">
        <f t="shared" si="3"/>
        <v/>
      </c>
    </row>
    <row r="7" spans="1:13" x14ac:dyDescent="0.35">
      <c r="D7" s="15"/>
      <c r="E7" s="15"/>
      <c r="H7" t="str">
        <f t="shared" si="0"/>
        <v/>
      </c>
      <c r="I7" t="str">
        <f>IFERROR(INDEX('1.12 Pessoas'!$F$2:$F$61,MATCH(B7,'1.12 Pessoas'!$A$2:$A$61,0)),"")</f>
        <v/>
      </c>
      <c r="J7" t="str">
        <f>IFERROR(INDEX('1.10 Papeis TD'!$B$2:$B$61,MATCH(C7,'1.10 Papeis TD'!$A$2:$A$61,0)),"")</f>
        <v/>
      </c>
      <c r="K7" t="str">
        <f t="shared" si="1"/>
        <v/>
      </c>
      <c r="L7" t="str">
        <f t="shared" si="2"/>
        <v/>
      </c>
      <c r="M7" t="str">
        <f t="shared" si="3"/>
        <v/>
      </c>
    </row>
    <row r="8" spans="1:13" x14ac:dyDescent="0.35">
      <c r="D8" s="15"/>
      <c r="E8" s="15"/>
      <c r="H8" t="str">
        <f t="shared" si="0"/>
        <v/>
      </c>
      <c r="I8" t="str">
        <f>IFERROR(INDEX('1.12 Pessoas'!$F$2:$F$61,MATCH(B8,'1.12 Pessoas'!$A$2:$A$61,0)),"")</f>
        <v/>
      </c>
      <c r="J8" t="str">
        <f>IFERROR(INDEX('1.10 Papeis TD'!$B$2:$B$61,MATCH(C8,'1.10 Papeis TD'!$A$2:$A$61,0)),"")</f>
        <v/>
      </c>
      <c r="K8" t="str">
        <f t="shared" si="1"/>
        <v/>
      </c>
      <c r="L8" t="str">
        <f t="shared" si="2"/>
        <v/>
      </c>
      <c r="M8" t="str">
        <f t="shared" si="3"/>
        <v/>
      </c>
    </row>
    <row r="9" spans="1:13" x14ac:dyDescent="0.35">
      <c r="D9" s="15"/>
      <c r="E9" s="15"/>
      <c r="H9" t="str">
        <f t="shared" si="0"/>
        <v/>
      </c>
      <c r="I9" t="str">
        <f>IFERROR(INDEX('1.12 Pessoas'!$F$2:$F$61,MATCH(B9,'1.12 Pessoas'!$A$2:$A$61,0)),"")</f>
        <v/>
      </c>
      <c r="J9" t="str">
        <f>IFERROR(INDEX('1.10 Papeis TD'!$B$2:$B$61,MATCH(C9,'1.10 Papeis TD'!$A$2:$A$61,0)),"")</f>
        <v/>
      </c>
      <c r="K9" t="str">
        <f t="shared" si="1"/>
        <v/>
      </c>
      <c r="L9" t="str">
        <f t="shared" si="2"/>
        <v/>
      </c>
      <c r="M9" t="str">
        <f t="shared" si="3"/>
        <v/>
      </c>
    </row>
    <row r="10" spans="1:13" x14ac:dyDescent="0.35">
      <c r="D10" s="15"/>
      <c r="E10" s="15"/>
      <c r="H10" t="str">
        <f t="shared" si="0"/>
        <v/>
      </c>
      <c r="I10" t="str">
        <f>IFERROR(INDEX('1.12 Pessoas'!$F$2:$F$61,MATCH(B10,'1.12 Pessoas'!$A$2:$A$61,0)),"")</f>
        <v/>
      </c>
      <c r="J10" t="str">
        <f>IFERROR(INDEX('1.10 Papeis TD'!$B$2:$B$61,MATCH(C10,'1.10 Papeis TD'!$A$2:$A$61,0)),"")</f>
        <v/>
      </c>
      <c r="K10" t="str">
        <f t="shared" si="1"/>
        <v/>
      </c>
      <c r="L10" t="str">
        <f t="shared" si="2"/>
        <v/>
      </c>
      <c r="M10" t="str">
        <f t="shared" si="3"/>
        <v/>
      </c>
    </row>
    <row r="11" spans="1:13" x14ac:dyDescent="0.35">
      <c r="D11" s="15"/>
      <c r="E11" s="15"/>
      <c r="H11" t="str">
        <f t="shared" si="0"/>
        <v/>
      </c>
      <c r="I11" t="str">
        <f>IFERROR(INDEX('1.12 Pessoas'!$F$2:$F$61,MATCH(B11,'1.12 Pessoas'!$A$2:$A$61,0)),"")</f>
        <v/>
      </c>
      <c r="J11" t="str">
        <f>IFERROR(INDEX('1.10 Papeis TD'!$B$2:$B$61,MATCH(C11,'1.10 Papeis TD'!$A$2:$A$61,0)),"")</f>
        <v/>
      </c>
      <c r="K11" t="str">
        <f t="shared" si="1"/>
        <v/>
      </c>
      <c r="L11" t="str">
        <f t="shared" si="2"/>
        <v/>
      </c>
      <c r="M11" t="str">
        <f t="shared" si="3"/>
        <v/>
      </c>
    </row>
    <row r="12" spans="1:13" x14ac:dyDescent="0.35">
      <c r="D12" s="15"/>
      <c r="E12" s="15"/>
      <c r="H12" t="str">
        <f t="shared" si="0"/>
        <v/>
      </c>
      <c r="I12" t="str">
        <f>IFERROR(INDEX('1.12 Pessoas'!$F$2:$F$61,MATCH(B12,'1.12 Pessoas'!$A$2:$A$61,0)),"")</f>
        <v/>
      </c>
      <c r="J12" t="str">
        <f>IFERROR(INDEX('1.10 Papeis TD'!$B$2:$B$61,MATCH(C12,'1.10 Papeis TD'!$A$2:$A$61,0)),"")</f>
        <v/>
      </c>
      <c r="K12" t="str">
        <f t="shared" si="1"/>
        <v/>
      </c>
      <c r="L12" t="str">
        <f t="shared" si="2"/>
        <v/>
      </c>
      <c r="M12" t="str">
        <f t="shared" si="3"/>
        <v/>
      </c>
    </row>
    <row r="13" spans="1:13" x14ac:dyDescent="0.35">
      <c r="D13" s="15"/>
      <c r="E13" s="15"/>
      <c r="H13" t="str">
        <f t="shared" si="0"/>
        <v/>
      </c>
      <c r="I13" t="str">
        <f>IFERROR(INDEX('1.12 Pessoas'!$F$2:$F$61,MATCH(B13,'1.12 Pessoas'!$A$2:$A$61,0)),"")</f>
        <v/>
      </c>
      <c r="J13" t="str">
        <f>IFERROR(INDEX('1.10 Papeis TD'!$B$2:$B$61,MATCH(C13,'1.10 Papeis TD'!$A$2:$A$61,0)),"")</f>
        <v/>
      </c>
      <c r="K13" t="str">
        <f t="shared" si="1"/>
        <v/>
      </c>
      <c r="L13" t="str">
        <f t="shared" si="2"/>
        <v/>
      </c>
      <c r="M13" t="str">
        <f t="shared" si="3"/>
        <v/>
      </c>
    </row>
    <row r="14" spans="1:13" x14ac:dyDescent="0.35">
      <c r="D14" s="15"/>
      <c r="E14" s="15"/>
      <c r="H14" t="str">
        <f t="shared" si="0"/>
        <v/>
      </c>
      <c r="I14" t="str">
        <f>IFERROR(INDEX('1.12 Pessoas'!$F$2:$F$61,MATCH(B14,'1.12 Pessoas'!$A$2:$A$61,0)),"")</f>
        <v/>
      </c>
      <c r="J14" t="str">
        <f>IFERROR(INDEX('1.10 Papeis TD'!$B$2:$B$61,MATCH(C14,'1.10 Papeis TD'!$A$2:$A$61,0)),"")</f>
        <v/>
      </c>
      <c r="K14" t="str">
        <f t="shared" si="1"/>
        <v/>
      </c>
      <c r="L14" t="str">
        <f t="shared" si="2"/>
        <v/>
      </c>
      <c r="M14" t="str">
        <f t="shared" si="3"/>
        <v/>
      </c>
    </row>
    <row r="15" spans="1:13" x14ac:dyDescent="0.35">
      <c r="D15" s="15"/>
      <c r="E15" s="15"/>
      <c r="H15" t="str">
        <f t="shared" si="0"/>
        <v/>
      </c>
      <c r="I15" t="str">
        <f>IFERROR(INDEX('1.12 Pessoas'!$F$2:$F$61,MATCH(B15,'1.12 Pessoas'!$A$2:$A$61,0)),"")</f>
        <v/>
      </c>
      <c r="J15" t="str">
        <f>IFERROR(INDEX('1.10 Papeis TD'!$B$2:$B$61,MATCH(C15,'1.10 Papeis TD'!$A$2:$A$61,0)),"")</f>
        <v/>
      </c>
      <c r="K15" t="str">
        <f t="shared" si="1"/>
        <v/>
      </c>
      <c r="L15" t="str">
        <f t="shared" si="2"/>
        <v/>
      </c>
      <c r="M15" t="str">
        <f t="shared" si="3"/>
        <v/>
      </c>
    </row>
    <row r="16" spans="1:13" x14ac:dyDescent="0.35">
      <c r="D16" s="15"/>
      <c r="E16" s="15"/>
      <c r="H16" t="str">
        <f t="shared" si="0"/>
        <v/>
      </c>
      <c r="I16" t="str">
        <f>IFERROR(INDEX('1.12 Pessoas'!$F$2:$F$61,MATCH(B16,'1.12 Pessoas'!$A$2:$A$61,0)),"")</f>
        <v/>
      </c>
      <c r="J16" t="str">
        <f>IFERROR(INDEX('1.10 Papeis TD'!$B$2:$B$61,MATCH(C16,'1.10 Papeis TD'!$A$2:$A$61,0)),"")</f>
        <v/>
      </c>
      <c r="K16" t="str">
        <f t="shared" si="1"/>
        <v/>
      </c>
      <c r="L16" t="str">
        <f t="shared" si="2"/>
        <v/>
      </c>
      <c r="M16" t="str">
        <f t="shared" si="3"/>
        <v/>
      </c>
    </row>
    <row r="17" spans="4:13" x14ac:dyDescent="0.35">
      <c r="D17" s="15"/>
      <c r="E17" s="15"/>
      <c r="H17" t="str">
        <f t="shared" si="0"/>
        <v/>
      </c>
      <c r="I17" t="str">
        <f>IFERROR(INDEX('1.12 Pessoas'!$F$2:$F$61,MATCH(B17,'1.12 Pessoas'!$A$2:$A$61,0)),"")</f>
        <v/>
      </c>
      <c r="J17" t="str">
        <f>IFERROR(INDEX('1.10 Papeis TD'!$B$2:$B$61,MATCH(C17,'1.10 Papeis TD'!$A$2:$A$61,0)),"")</f>
        <v/>
      </c>
      <c r="K17" t="str">
        <f t="shared" si="1"/>
        <v/>
      </c>
      <c r="L17" t="str">
        <f t="shared" si="2"/>
        <v/>
      </c>
      <c r="M17" t="str">
        <f t="shared" si="3"/>
        <v/>
      </c>
    </row>
    <row r="18" spans="4:13" x14ac:dyDescent="0.35">
      <c r="D18" s="15"/>
      <c r="E18" s="15"/>
      <c r="H18" t="str">
        <f t="shared" si="0"/>
        <v/>
      </c>
      <c r="I18" t="str">
        <f>IFERROR(INDEX('1.12 Pessoas'!$F$2:$F$61,MATCH(B18,'1.12 Pessoas'!$A$2:$A$61,0)),"")</f>
        <v/>
      </c>
      <c r="J18" t="str">
        <f>IFERROR(INDEX('1.10 Papeis TD'!$B$2:$B$61,MATCH(C18,'1.10 Papeis TD'!$A$2:$A$61,0)),"")</f>
        <v/>
      </c>
      <c r="K18" t="str">
        <f t="shared" si="1"/>
        <v/>
      </c>
      <c r="L18" t="str">
        <f t="shared" si="2"/>
        <v/>
      </c>
      <c r="M18" t="str">
        <f t="shared" si="3"/>
        <v/>
      </c>
    </row>
    <row r="19" spans="4:13" x14ac:dyDescent="0.35">
      <c r="D19" s="15"/>
      <c r="E19" s="15"/>
      <c r="H19" t="str">
        <f t="shared" si="0"/>
        <v/>
      </c>
      <c r="I19" t="str">
        <f>IFERROR(INDEX('1.12 Pessoas'!$F$2:$F$61,MATCH(B19,'1.12 Pessoas'!$A$2:$A$61,0)),"")</f>
        <v/>
      </c>
      <c r="J19" t="str">
        <f>IFERROR(INDEX('1.10 Papeis TD'!$B$2:$B$61,MATCH(C19,'1.10 Papeis TD'!$A$2:$A$61,0)),"")</f>
        <v/>
      </c>
      <c r="K19" t="str">
        <f t="shared" si="1"/>
        <v/>
      </c>
      <c r="L19" t="str">
        <f t="shared" si="2"/>
        <v/>
      </c>
      <c r="M19" t="str">
        <f t="shared" si="3"/>
        <v/>
      </c>
    </row>
    <row r="20" spans="4:13" x14ac:dyDescent="0.35">
      <c r="D20" s="15"/>
      <c r="E20" s="15"/>
      <c r="H20" t="str">
        <f t="shared" si="0"/>
        <v/>
      </c>
      <c r="I20" t="str">
        <f>IFERROR(INDEX('1.12 Pessoas'!$F$2:$F$61,MATCH(B20,'1.12 Pessoas'!$A$2:$A$61,0)),"")</f>
        <v/>
      </c>
      <c r="J20" t="str">
        <f>IFERROR(INDEX('1.10 Papeis TD'!$B$2:$B$61,MATCH(C20,'1.10 Papeis TD'!$A$2:$A$61,0)),"")</f>
        <v/>
      </c>
      <c r="K20" t="str">
        <f t="shared" si="1"/>
        <v/>
      </c>
      <c r="L20" t="str">
        <f t="shared" si="2"/>
        <v/>
      </c>
      <c r="M20" t="str">
        <f t="shared" si="3"/>
        <v/>
      </c>
    </row>
    <row r="21" spans="4:13" x14ac:dyDescent="0.35">
      <c r="D21" s="15"/>
      <c r="E21" s="15"/>
      <c r="H21" t="str">
        <f t="shared" si="0"/>
        <v/>
      </c>
      <c r="I21" t="str">
        <f>IFERROR(INDEX('1.12 Pessoas'!$F$2:$F$61,MATCH(B21,'1.12 Pessoas'!$A$2:$A$61,0)),"")</f>
        <v/>
      </c>
      <c r="J21" t="str">
        <f>IFERROR(INDEX('1.10 Papeis TD'!$B$2:$B$61,MATCH(C21,'1.10 Papeis TD'!$A$2:$A$61,0)),"")</f>
        <v/>
      </c>
      <c r="K21" t="str">
        <f t="shared" si="1"/>
        <v/>
      </c>
      <c r="L21" t="str">
        <f t="shared" si="2"/>
        <v/>
      </c>
      <c r="M21" t="str">
        <f t="shared" si="3"/>
        <v/>
      </c>
    </row>
    <row r="22" spans="4:13" x14ac:dyDescent="0.35">
      <c r="D22" s="15"/>
      <c r="E22" s="15"/>
      <c r="H22" t="str">
        <f t="shared" si="0"/>
        <v/>
      </c>
      <c r="I22" t="str">
        <f>IFERROR(INDEX('1.12 Pessoas'!$F$2:$F$61,MATCH(B22,'1.12 Pessoas'!$A$2:$A$61,0)),"")</f>
        <v/>
      </c>
      <c r="J22" t="str">
        <f>IFERROR(INDEX('1.10 Papeis TD'!$B$2:$B$61,MATCH(C22,'1.10 Papeis TD'!$A$2:$A$61,0)),"")</f>
        <v/>
      </c>
      <c r="K22" t="str">
        <f t="shared" si="1"/>
        <v/>
      </c>
      <c r="L22" t="str">
        <f t="shared" si="2"/>
        <v/>
      </c>
      <c r="M22" t="str">
        <f t="shared" si="3"/>
        <v/>
      </c>
    </row>
    <row r="23" spans="4:13" x14ac:dyDescent="0.35">
      <c r="D23" s="15"/>
      <c r="E23" s="15"/>
      <c r="H23" t="str">
        <f t="shared" si="0"/>
        <v/>
      </c>
      <c r="I23" t="str">
        <f>IFERROR(INDEX('1.12 Pessoas'!$F$2:$F$61,MATCH(B23,'1.12 Pessoas'!$A$2:$A$61,0)),"")</f>
        <v/>
      </c>
      <c r="J23" t="str">
        <f>IFERROR(INDEX('1.10 Papeis TD'!$B$2:$B$61,MATCH(C23,'1.10 Papeis TD'!$A$2:$A$61,0)),"")</f>
        <v/>
      </c>
      <c r="K23" t="str">
        <f t="shared" si="1"/>
        <v/>
      </c>
      <c r="L23" t="str">
        <f t="shared" si="2"/>
        <v/>
      </c>
      <c r="M23" t="str">
        <f t="shared" si="3"/>
        <v/>
      </c>
    </row>
    <row r="24" spans="4:13" x14ac:dyDescent="0.35">
      <c r="D24" s="15"/>
      <c r="E24" s="15"/>
      <c r="H24" t="str">
        <f t="shared" si="0"/>
        <v/>
      </c>
      <c r="I24" t="str">
        <f>IFERROR(INDEX('1.12 Pessoas'!$F$2:$F$61,MATCH(B24,'1.12 Pessoas'!$A$2:$A$61,0)),"")</f>
        <v/>
      </c>
      <c r="J24" t="str">
        <f>IFERROR(INDEX('1.10 Papeis TD'!$B$2:$B$61,MATCH(C24,'1.10 Papeis TD'!$A$2:$A$61,0)),"")</f>
        <v/>
      </c>
      <c r="K24" t="str">
        <f t="shared" si="1"/>
        <v/>
      </c>
      <c r="L24" t="str">
        <f t="shared" si="2"/>
        <v/>
      </c>
      <c r="M24" t="str">
        <f t="shared" si="3"/>
        <v/>
      </c>
    </row>
    <row r="25" spans="4:13" x14ac:dyDescent="0.35">
      <c r="D25" s="15"/>
      <c r="E25" s="15"/>
      <c r="H25" t="str">
        <f t="shared" si="0"/>
        <v/>
      </c>
      <c r="I25" t="str">
        <f>IFERROR(INDEX('1.12 Pessoas'!$F$2:$F$61,MATCH(B25,'1.12 Pessoas'!$A$2:$A$61,0)),"")</f>
        <v/>
      </c>
      <c r="J25" t="str">
        <f>IFERROR(INDEX('1.10 Papeis TD'!$B$2:$B$61,MATCH(C25,'1.10 Papeis TD'!$A$2:$A$61,0)),"")</f>
        <v/>
      </c>
      <c r="K25" t="str">
        <f t="shared" si="1"/>
        <v/>
      </c>
      <c r="L25" t="str">
        <f t="shared" si="2"/>
        <v/>
      </c>
      <c r="M25" t="str">
        <f t="shared" si="3"/>
        <v/>
      </c>
    </row>
    <row r="26" spans="4:13" x14ac:dyDescent="0.35">
      <c r="D26" s="15"/>
      <c r="E26" s="15"/>
      <c r="H26" t="str">
        <f t="shared" si="0"/>
        <v/>
      </c>
      <c r="I26" t="str">
        <f>IFERROR(INDEX('1.12 Pessoas'!$F$2:$F$61,MATCH(B26,'1.12 Pessoas'!$A$2:$A$61,0)),"")</f>
        <v/>
      </c>
      <c r="J26" t="str">
        <f>IFERROR(INDEX('1.10 Papeis TD'!$B$2:$B$61,MATCH(C26,'1.10 Papeis TD'!$A$2:$A$61,0)),"")</f>
        <v/>
      </c>
      <c r="K26" t="str">
        <f t="shared" si="1"/>
        <v/>
      </c>
      <c r="L26" t="str">
        <f t="shared" si="2"/>
        <v/>
      </c>
      <c r="M26" t="str">
        <f t="shared" si="3"/>
        <v/>
      </c>
    </row>
    <row r="27" spans="4:13" x14ac:dyDescent="0.35">
      <c r="D27" s="15"/>
      <c r="E27" s="15"/>
      <c r="H27" t="str">
        <f t="shared" si="0"/>
        <v/>
      </c>
      <c r="I27" t="str">
        <f>IFERROR(INDEX('1.12 Pessoas'!$F$2:$F$61,MATCH(B27,'1.12 Pessoas'!$A$2:$A$61,0)),"")</f>
        <v/>
      </c>
      <c r="J27" t="str">
        <f>IFERROR(INDEX('1.10 Papeis TD'!$B$2:$B$61,MATCH(C27,'1.10 Papeis TD'!$A$2:$A$61,0)),"")</f>
        <v/>
      </c>
      <c r="K27" t="str">
        <f t="shared" si="1"/>
        <v/>
      </c>
      <c r="L27" t="str">
        <f t="shared" si="2"/>
        <v/>
      </c>
      <c r="M27" t="str">
        <f t="shared" si="3"/>
        <v/>
      </c>
    </row>
    <row r="28" spans="4:13" x14ac:dyDescent="0.35">
      <c r="D28" s="15"/>
      <c r="E28" s="15"/>
      <c r="H28" t="str">
        <f t="shared" si="0"/>
        <v/>
      </c>
      <c r="I28" t="str">
        <f>IFERROR(INDEX('1.12 Pessoas'!$F$2:$F$61,MATCH(B28,'1.12 Pessoas'!$A$2:$A$61,0)),"")</f>
        <v/>
      </c>
      <c r="J28" t="str">
        <f>IFERROR(INDEX('1.10 Papeis TD'!$B$2:$B$61,MATCH(C28,'1.10 Papeis TD'!$A$2:$A$61,0)),"")</f>
        <v/>
      </c>
      <c r="K28" t="str">
        <f t="shared" si="1"/>
        <v/>
      </c>
      <c r="L28" t="str">
        <f t="shared" si="2"/>
        <v/>
      </c>
      <c r="M28" t="str">
        <f t="shared" si="3"/>
        <v/>
      </c>
    </row>
    <row r="29" spans="4:13" x14ac:dyDescent="0.35">
      <c r="D29" s="15"/>
      <c r="E29" s="15"/>
      <c r="H29" t="str">
        <f t="shared" si="0"/>
        <v/>
      </c>
      <c r="I29" t="str">
        <f>IFERROR(INDEX('1.12 Pessoas'!$F$2:$F$61,MATCH(B29,'1.12 Pessoas'!$A$2:$A$61,0)),"")</f>
        <v/>
      </c>
      <c r="J29" t="str">
        <f>IFERROR(INDEX('1.10 Papeis TD'!$B$2:$B$61,MATCH(C29,'1.10 Papeis TD'!$A$2:$A$61,0)),"")</f>
        <v/>
      </c>
      <c r="K29" t="str">
        <f t="shared" si="1"/>
        <v/>
      </c>
      <c r="L29" t="str">
        <f t="shared" si="2"/>
        <v/>
      </c>
      <c r="M29" t="str">
        <f t="shared" si="3"/>
        <v/>
      </c>
    </row>
    <row r="30" spans="4:13" x14ac:dyDescent="0.35">
      <c r="D30" s="15"/>
      <c r="E30" s="15"/>
      <c r="H30" t="str">
        <f t="shared" si="0"/>
        <v/>
      </c>
      <c r="I30" t="str">
        <f>IFERROR(INDEX('1.12 Pessoas'!$F$2:$F$61,MATCH(B30,'1.12 Pessoas'!$A$2:$A$61,0)),"")</f>
        <v/>
      </c>
      <c r="J30" t="str">
        <f>IFERROR(INDEX('1.10 Papeis TD'!$B$2:$B$61,MATCH(C30,'1.10 Papeis TD'!$A$2:$A$61,0)),"")</f>
        <v/>
      </c>
      <c r="K30" t="str">
        <f t="shared" si="1"/>
        <v/>
      </c>
      <c r="L30" t="str">
        <f t="shared" si="2"/>
        <v/>
      </c>
      <c r="M30" t="str">
        <f t="shared" si="3"/>
        <v/>
      </c>
    </row>
    <row r="31" spans="4:13" x14ac:dyDescent="0.35">
      <c r="D31" s="15"/>
      <c r="E31" s="15"/>
      <c r="H31" t="str">
        <f t="shared" si="0"/>
        <v/>
      </c>
      <c r="I31" t="str">
        <f>IFERROR(INDEX('1.12 Pessoas'!$F$2:$F$61,MATCH(B31,'1.12 Pessoas'!$A$2:$A$61,0)),"")</f>
        <v/>
      </c>
      <c r="J31" t="str">
        <f>IFERROR(INDEX('1.10 Papeis TD'!$B$2:$B$61,MATCH(C31,'1.10 Papeis TD'!$A$2:$A$61,0)),"")</f>
        <v/>
      </c>
      <c r="K31" t="str">
        <f t="shared" si="1"/>
        <v/>
      </c>
      <c r="L31" t="str">
        <f t="shared" si="2"/>
        <v/>
      </c>
      <c r="M31" t="str">
        <f t="shared" si="3"/>
        <v/>
      </c>
    </row>
    <row r="32" spans="4:13" x14ac:dyDescent="0.35">
      <c r="D32" s="15"/>
      <c r="E32" s="15"/>
      <c r="H32" t="str">
        <f t="shared" si="0"/>
        <v/>
      </c>
      <c r="I32" t="str">
        <f>IFERROR(INDEX('1.12 Pessoas'!$F$2:$F$61,MATCH(B32,'1.12 Pessoas'!$A$2:$A$61,0)),"")</f>
        <v/>
      </c>
      <c r="J32" t="str">
        <f>IFERROR(INDEX('1.10 Papeis TD'!$B$2:$B$61,MATCH(C32,'1.10 Papeis TD'!$A$2:$A$61,0)),"")</f>
        <v/>
      </c>
      <c r="K32" t="str">
        <f t="shared" si="1"/>
        <v/>
      </c>
      <c r="L32" t="str">
        <f t="shared" si="2"/>
        <v/>
      </c>
      <c r="M32" t="str">
        <f t="shared" si="3"/>
        <v/>
      </c>
    </row>
    <row r="33" spans="4:13" x14ac:dyDescent="0.35">
      <c r="D33" s="15"/>
      <c r="E33" s="15"/>
      <c r="H33" t="str">
        <f t="shared" si="0"/>
        <v/>
      </c>
      <c r="I33" t="str">
        <f>IFERROR(INDEX('1.12 Pessoas'!$F$2:$F$61,MATCH(B33,'1.12 Pessoas'!$A$2:$A$61,0)),"")</f>
        <v/>
      </c>
      <c r="J33" t="str">
        <f>IFERROR(INDEX('1.10 Papeis TD'!$B$2:$B$61,MATCH(C33,'1.10 Papeis TD'!$A$2:$A$61,0)),"")</f>
        <v/>
      </c>
      <c r="K33" t="str">
        <f t="shared" si="1"/>
        <v/>
      </c>
      <c r="L33" t="str">
        <f t="shared" si="2"/>
        <v/>
      </c>
      <c r="M33" t="str">
        <f t="shared" si="3"/>
        <v/>
      </c>
    </row>
    <row r="34" spans="4:13" x14ac:dyDescent="0.35">
      <c r="D34" s="15"/>
      <c r="E34" s="15"/>
      <c r="H34" t="str">
        <f t="shared" ref="H34:H61" si="4">IF(A34="","",A34)</f>
        <v/>
      </c>
      <c r="I34" t="str">
        <f>IFERROR(INDEX('1.12 Pessoas'!$F$2:$F$61,MATCH(B34,'1.12 Pessoas'!$A$2:$A$61,0)),"")</f>
        <v/>
      </c>
      <c r="J34" t="str">
        <f>IFERROR(INDEX('1.10 Papeis TD'!$B$2:$B$61,MATCH(C34,'1.10 Papeis TD'!$A$2:$A$61,0)),"")</f>
        <v/>
      </c>
      <c r="K34" t="str">
        <f t="shared" ref="K34:K61" si="5">IF(D34="","",TEXT(D34,"yyyy-mm-dd"))</f>
        <v/>
      </c>
      <c r="L34" t="str">
        <f t="shared" ref="L34:L61" si="6">IF(E34="","",TEXT(E34,"yyyy-mm-dd"))</f>
        <v/>
      </c>
      <c r="M34" t="str">
        <f t="shared" ref="M34:M61" si="7">IF(F34="Sim","true",IF(F34="Não","false",""))</f>
        <v/>
      </c>
    </row>
    <row r="35" spans="4:13" x14ac:dyDescent="0.35">
      <c r="D35" s="15"/>
      <c r="E35" s="15"/>
      <c r="H35" t="str">
        <f t="shared" si="4"/>
        <v/>
      </c>
      <c r="I35" t="str">
        <f>IFERROR(INDEX('1.12 Pessoas'!$F$2:$F$61,MATCH(B35,'1.12 Pessoas'!$A$2:$A$61,0)),"")</f>
        <v/>
      </c>
      <c r="J35" t="str">
        <f>IFERROR(INDEX('1.10 Papeis TD'!$B$2:$B$61,MATCH(C35,'1.10 Papeis TD'!$A$2:$A$61,0)),"")</f>
        <v/>
      </c>
      <c r="K35" t="str">
        <f t="shared" si="5"/>
        <v/>
      </c>
      <c r="L35" t="str">
        <f t="shared" si="6"/>
        <v/>
      </c>
      <c r="M35" t="str">
        <f t="shared" si="7"/>
        <v/>
      </c>
    </row>
    <row r="36" spans="4:13" x14ac:dyDescent="0.35">
      <c r="D36" s="15"/>
      <c r="E36" s="15"/>
      <c r="H36" t="str">
        <f t="shared" si="4"/>
        <v/>
      </c>
      <c r="I36" t="str">
        <f>IFERROR(INDEX('1.12 Pessoas'!$F$2:$F$61,MATCH(B36,'1.12 Pessoas'!$A$2:$A$61,0)),"")</f>
        <v/>
      </c>
      <c r="J36" t="str">
        <f>IFERROR(INDEX('1.10 Papeis TD'!$B$2:$B$61,MATCH(C36,'1.10 Papeis TD'!$A$2:$A$61,0)),"")</f>
        <v/>
      </c>
      <c r="K36" t="str">
        <f t="shared" si="5"/>
        <v/>
      </c>
      <c r="L36" t="str">
        <f t="shared" si="6"/>
        <v/>
      </c>
      <c r="M36" t="str">
        <f t="shared" si="7"/>
        <v/>
      </c>
    </row>
    <row r="37" spans="4:13" x14ac:dyDescent="0.35">
      <c r="D37" s="15"/>
      <c r="E37" s="15"/>
      <c r="H37" t="str">
        <f t="shared" si="4"/>
        <v/>
      </c>
      <c r="I37" t="str">
        <f>IFERROR(INDEX('1.12 Pessoas'!$F$2:$F$61,MATCH(B37,'1.12 Pessoas'!$A$2:$A$61,0)),"")</f>
        <v/>
      </c>
      <c r="J37" t="str">
        <f>IFERROR(INDEX('1.10 Papeis TD'!$B$2:$B$61,MATCH(C37,'1.10 Papeis TD'!$A$2:$A$61,0)),"")</f>
        <v/>
      </c>
      <c r="K37" t="str">
        <f t="shared" si="5"/>
        <v/>
      </c>
      <c r="L37" t="str">
        <f t="shared" si="6"/>
        <v/>
      </c>
      <c r="M37" t="str">
        <f t="shared" si="7"/>
        <v/>
      </c>
    </row>
    <row r="38" spans="4:13" x14ac:dyDescent="0.35">
      <c r="D38" s="15"/>
      <c r="E38" s="15"/>
      <c r="H38" t="str">
        <f t="shared" si="4"/>
        <v/>
      </c>
      <c r="I38" t="str">
        <f>IFERROR(INDEX('1.12 Pessoas'!$F$2:$F$61,MATCH(B38,'1.12 Pessoas'!$A$2:$A$61,0)),"")</f>
        <v/>
      </c>
      <c r="J38" t="str">
        <f>IFERROR(INDEX('1.10 Papeis TD'!$B$2:$B$61,MATCH(C38,'1.10 Papeis TD'!$A$2:$A$61,0)),"")</f>
        <v/>
      </c>
      <c r="K38" t="str">
        <f t="shared" si="5"/>
        <v/>
      </c>
      <c r="L38" t="str">
        <f t="shared" si="6"/>
        <v/>
      </c>
      <c r="M38" t="str">
        <f t="shared" si="7"/>
        <v/>
      </c>
    </row>
    <row r="39" spans="4:13" x14ac:dyDescent="0.35">
      <c r="D39" s="15"/>
      <c r="E39" s="15"/>
      <c r="H39" t="str">
        <f t="shared" si="4"/>
        <v/>
      </c>
      <c r="I39" t="str">
        <f>IFERROR(INDEX('1.12 Pessoas'!$F$2:$F$61,MATCH(B39,'1.12 Pessoas'!$A$2:$A$61,0)),"")</f>
        <v/>
      </c>
      <c r="J39" t="str">
        <f>IFERROR(INDEX('1.10 Papeis TD'!$B$2:$B$61,MATCH(C39,'1.10 Papeis TD'!$A$2:$A$61,0)),"")</f>
        <v/>
      </c>
      <c r="K39" t="str">
        <f t="shared" si="5"/>
        <v/>
      </c>
      <c r="L39" t="str">
        <f t="shared" si="6"/>
        <v/>
      </c>
      <c r="M39" t="str">
        <f t="shared" si="7"/>
        <v/>
      </c>
    </row>
    <row r="40" spans="4:13" x14ac:dyDescent="0.35">
      <c r="D40" s="15"/>
      <c r="E40" s="15"/>
      <c r="H40" t="str">
        <f t="shared" si="4"/>
        <v/>
      </c>
      <c r="I40" t="str">
        <f>IFERROR(INDEX('1.12 Pessoas'!$F$2:$F$61,MATCH(B40,'1.12 Pessoas'!$A$2:$A$61,0)),"")</f>
        <v/>
      </c>
      <c r="J40" t="str">
        <f>IFERROR(INDEX('1.10 Papeis TD'!$B$2:$B$61,MATCH(C40,'1.10 Papeis TD'!$A$2:$A$61,0)),"")</f>
        <v/>
      </c>
      <c r="K40" t="str">
        <f t="shared" si="5"/>
        <v/>
      </c>
      <c r="L40" t="str">
        <f t="shared" si="6"/>
        <v/>
      </c>
      <c r="M40" t="str">
        <f t="shared" si="7"/>
        <v/>
      </c>
    </row>
    <row r="41" spans="4:13" x14ac:dyDescent="0.35">
      <c r="D41" s="15"/>
      <c r="E41" s="15"/>
      <c r="H41" t="str">
        <f t="shared" si="4"/>
        <v/>
      </c>
      <c r="I41" t="str">
        <f>IFERROR(INDEX('1.12 Pessoas'!$F$2:$F$61,MATCH(B41,'1.12 Pessoas'!$A$2:$A$61,0)),"")</f>
        <v/>
      </c>
      <c r="J41" t="str">
        <f>IFERROR(INDEX('1.10 Papeis TD'!$B$2:$B$61,MATCH(C41,'1.10 Papeis TD'!$A$2:$A$61,0)),"")</f>
        <v/>
      </c>
      <c r="K41" t="str">
        <f t="shared" si="5"/>
        <v/>
      </c>
      <c r="L41" t="str">
        <f t="shared" si="6"/>
        <v/>
      </c>
      <c r="M41" t="str">
        <f t="shared" si="7"/>
        <v/>
      </c>
    </row>
    <row r="42" spans="4:13" x14ac:dyDescent="0.35">
      <c r="D42" s="15"/>
      <c r="E42" s="15"/>
      <c r="H42" t="str">
        <f t="shared" si="4"/>
        <v/>
      </c>
      <c r="I42" t="str">
        <f>IFERROR(INDEX('1.12 Pessoas'!$F$2:$F$61,MATCH(B42,'1.12 Pessoas'!$A$2:$A$61,0)),"")</f>
        <v/>
      </c>
      <c r="J42" t="str">
        <f>IFERROR(INDEX('1.10 Papeis TD'!$B$2:$B$61,MATCH(C42,'1.10 Papeis TD'!$A$2:$A$61,0)),"")</f>
        <v/>
      </c>
      <c r="K42" t="str">
        <f t="shared" si="5"/>
        <v/>
      </c>
      <c r="L42" t="str">
        <f t="shared" si="6"/>
        <v/>
      </c>
      <c r="M42" t="str">
        <f t="shared" si="7"/>
        <v/>
      </c>
    </row>
    <row r="43" spans="4:13" x14ac:dyDescent="0.35">
      <c r="D43" s="15"/>
      <c r="E43" s="15"/>
      <c r="H43" t="str">
        <f t="shared" si="4"/>
        <v/>
      </c>
      <c r="I43" t="str">
        <f>IFERROR(INDEX('1.12 Pessoas'!$F$2:$F$61,MATCH(B43,'1.12 Pessoas'!$A$2:$A$61,0)),"")</f>
        <v/>
      </c>
      <c r="J43" t="str">
        <f>IFERROR(INDEX('1.10 Papeis TD'!$B$2:$B$61,MATCH(C43,'1.10 Papeis TD'!$A$2:$A$61,0)),"")</f>
        <v/>
      </c>
      <c r="K43" t="str">
        <f t="shared" si="5"/>
        <v/>
      </c>
      <c r="L43" t="str">
        <f t="shared" si="6"/>
        <v/>
      </c>
      <c r="M43" t="str">
        <f t="shared" si="7"/>
        <v/>
      </c>
    </row>
    <row r="44" spans="4:13" x14ac:dyDescent="0.35">
      <c r="D44" s="15"/>
      <c r="E44" s="15"/>
      <c r="H44" t="str">
        <f t="shared" si="4"/>
        <v/>
      </c>
      <c r="I44" t="str">
        <f>IFERROR(INDEX('1.12 Pessoas'!$F$2:$F$61,MATCH(B44,'1.12 Pessoas'!$A$2:$A$61,0)),"")</f>
        <v/>
      </c>
      <c r="J44" t="str">
        <f>IFERROR(INDEX('1.10 Papeis TD'!$B$2:$B$61,MATCH(C44,'1.10 Papeis TD'!$A$2:$A$61,0)),"")</f>
        <v/>
      </c>
      <c r="K44" t="str">
        <f t="shared" si="5"/>
        <v/>
      </c>
      <c r="L44" t="str">
        <f t="shared" si="6"/>
        <v/>
      </c>
      <c r="M44" t="str">
        <f t="shared" si="7"/>
        <v/>
      </c>
    </row>
    <row r="45" spans="4:13" x14ac:dyDescent="0.35">
      <c r="D45" s="15"/>
      <c r="E45" s="15"/>
      <c r="H45" t="str">
        <f t="shared" si="4"/>
        <v/>
      </c>
      <c r="I45" t="str">
        <f>IFERROR(INDEX('1.12 Pessoas'!$F$2:$F$61,MATCH(B45,'1.12 Pessoas'!$A$2:$A$61,0)),"")</f>
        <v/>
      </c>
      <c r="J45" t="str">
        <f>IFERROR(INDEX('1.10 Papeis TD'!$B$2:$B$61,MATCH(C45,'1.10 Papeis TD'!$A$2:$A$61,0)),"")</f>
        <v/>
      </c>
      <c r="K45" t="str">
        <f t="shared" si="5"/>
        <v/>
      </c>
      <c r="L45" t="str">
        <f t="shared" si="6"/>
        <v/>
      </c>
      <c r="M45" t="str">
        <f t="shared" si="7"/>
        <v/>
      </c>
    </row>
    <row r="46" spans="4:13" x14ac:dyDescent="0.35">
      <c r="D46" s="15"/>
      <c r="E46" s="15"/>
      <c r="H46" t="str">
        <f t="shared" si="4"/>
        <v/>
      </c>
      <c r="I46" t="str">
        <f>IFERROR(INDEX('1.12 Pessoas'!$F$2:$F$61,MATCH(B46,'1.12 Pessoas'!$A$2:$A$61,0)),"")</f>
        <v/>
      </c>
      <c r="J46" t="str">
        <f>IFERROR(INDEX('1.10 Papeis TD'!$B$2:$B$61,MATCH(C46,'1.10 Papeis TD'!$A$2:$A$61,0)),"")</f>
        <v/>
      </c>
      <c r="K46" t="str">
        <f t="shared" si="5"/>
        <v/>
      </c>
      <c r="L46" t="str">
        <f t="shared" si="6"/>
        <v/>
      </c>
      <c r="M46" t="str">
        <f t="shared" si="7"/>
        <v/>
      </c>
    </row>
    <row r="47" spans="4:13" x14ac:dyDescent="0.35">
      <c r="D47" s="15"/>
      <c r="E47" s="15"/>
      <c r="H47" t="str">
        <f t="shared" si="4"/>
        <v/>
      </c>
      <c r="I47" t="str">
        <f>IFERROR(INDEX('1.12 Pessoas'!$F$2:$F$61,MATCH(B47,'1.12 Pessoas'!$A$2:$A$61,0)),"")</f>
        <v/>
      </c>
      <c r="J47" t="str">
        <f>IFERROR(INDEX('1.10 Papeis TD'!$B$2:$B$61,MATCH(C47,'1.10 Papeis TD'!$A$2:$A$61,0)),"")</f>
        <v/>
      </c>
      <c r="K47" t="str">
        <f t="shared" si="5"/>
        <v/>
      </c>
      <c r="L47" t="str">
        <f t="shared" si="6"/>
        <v/>
      </c>
      <c r="M47" t="str">
        <f t="shared" si="7"/>
        <v/>
      </c>
    </row>
    <row r="48" spans="4:13" x14ac:dyDescent="0.35">
      <c r="D48" s="15"/>
      <c r="E48" s="15"/>
      <c r="H48" t="str">
        <f t="shared" si="4"/>
        <v/>
      </c>
      <c r="I48" t="str">
        <f>IFERROR(INDEX('1.12 Pessoas'!$F$2:$F$61,MATCH(B48,'1.12 Pessoas'!$A$2:$A$61,0)),"")</f>
        <v/>
      </c>
      <c r="J48" t="str">
        <f>IFERROR(INDEX('1.10 Papeis TD'!$B$2:$B$61,MATCH(C48,'1.10 Papeis TD'!$A$2:$A$61,0)),"")</f>
        <v/>
      </c>
      <c r="K48" t="str">
        <f t="shared" si="5"/>
        <v/>
      </c>
      <c r="L48" t="str">
        <f t="shared" si="6"/>
        <v/>
      </c>
      <c r="M48" t="str">
        <f t="shared" si="7"/>
        <v/>
      </c>
    </row>
    <row r="49" spans="4:13" x14ac:dyDescent="0.35">
      <c r="D49" s="15"/>
      <c r="E49" s="15"/>
      <c r="H49" t="str">
        <f t="shared" si="4"/>
        <v/>
      </c>
      <c r="I49" t="str">
        <f>IFERROR(INDEX('1.12 Pessoas'!$F$2:$F$61,MATCH(B49,'1.12 Pessoas'!$A$2:$A$61,0)),"")</f>
        <v/>
      </c>
      <c r="J49" t="str">
        <f>IFERROR(INDEX('1.10 Papeis TD'!$B$2:$B$61,MATCH(C49,'1.10 Papeis TD'!$A$2:$A$61,0)),"")</f>
        <v/>
      </c>
      <c r="K49" t="str">
        <f t="shared" si="5"/>
        <v/>
      </c>
      <c r="L49" t="str">
        <f t="shared" si="6"/>
        <v/>
      </c>
      <c r="M49" t="str">
        <f t="shared" si="7"/>
        <v/>
      </c>
    </row>
    <row r="50" spans="4:13" x14ac:dyDescent="0.35">
      <c r="D50" s="15"/>
      <c r="E50" s="15"/>
      <c r="H50" t="str">
        <f t="shared" si="4"/>
        <v/>
      </c>
      <c r="I50" t="str">
        <f>IFERROR(INDEX('1.12 Pessoas'!$F$2:$F$61,MATCH(B50,'1.12 Pessoas'!$A$2:$A$61,0)),"")</f>
        <v/>
      </c>
      <c r="J50" t="str">
        <f>IFERROR(INDEX('1.10 Papeis TD'!$B$2:$B$61,MATCH(C50,'1.10 Papeis TD'!$A$2:$A$61,0)),"")</f>
        <v/>
      </c>
      <c r="K50" t="str">
        <f t="shared" si="5"/>
        <v/>
      </c>
      <c r="L50" t="str">
        <f t="shared" si="6"/>
        <v/>
      </c>
      <c r="M50" t="str">
        <f t="shared" si="7"/>
        <v/>
      </c>
    </row>
    <row r="51" spans="4:13" x14ac:dyDescent="0.35">
      <c r="D51" s="15"/>
      <c r="E51" s="15"/>
      <c r="H51" t="str">
        <f t="shared" si="4"/>
        <v/>
      </c>
      <c r="I51" t="str">
        <f>IFERROR(INDEX('1.12 Pessoas'!$F$2:$F$61,MATCH(B51,'1.12 Pessoas'!$A$2:$A$61,0)),"")</f>
        <v/>
      </c>
      <c r="J51" t="str">
        <f>IFERROR(INDEX('1.10 Papeis TD'!$B$2:$B$61,MATCH(C51,'1.10 Papeis TD'!$A$2:$A$61,0)),"")</f>
        <v/>
      </c>
      <c r="K51" t="str">
        <f t="shared" si="5"/>
        <v/>
      </c>
      <c r="L51" t="str">
        <f t="shared" si="6"/>
        <v/>
      </c>
      <c r="M51" t="str">
        <f t="shared" si="7"/>
        <v/>
      </c>
    </row>
    <row r="52" spans="4:13" x14ac:dyDescent="0.35">
      <c r="D52" s="15"/>
      <c r="E52" s="15"/>
      <c r="H52" t="str">
        <f t="shared" si="4"/>
        <v/>
      </c>
      <c r="I52" t="str">
        <f>IFERROR(INDEX('1.12 Pessoas'!$F$2:$F$61,MATCH(B52,'1.12 Pessoas'!$A$2:$A$61,0)),"")</f>
        <v/>
      </c>
      <c r="J52" t="str">
        <f>IFERROR(INDEX('1.10 Papeis TD'!$B$2:$B$61,MATCH(C52,'1.10 Papeis TD'!$A$2:$A$61,0)),"")</f>
        <v/>
      </c>
      <c r="K52" t="str">
        <f t="shared" si="5"/>
        <v/>
      </c>
      <c r="L52" t="str">
        <f t="shared" si="6"/>
        <v/>
      </c>
      <c r="M52" t="str">
        <f t="shared" si="7"/>
        <v/>
      </c>
    </row>
    <row r="53" spans="4:13" x14ac:dyDescent="0.35">
      <c r="D53" s="15"/>
      <c r="E53" s="15"/>
      <c r="H53" t="str">
        <f t="shared" si="4"/>
        <v/>
      </c>
      <c r="I53" t="str">
        <f>IFERROR(INDEX('1.12 Pessoas'!$F$2:$F$61,MATCH(B53,'1.12 Pessoas'!$A$2:$A$61,0)),"")</f>
        <v/>
      </c>
      <c r="J53" t="str">
        <f>IFERROR(INDEX('1.10 Papeis TD'!$B$2:$B$61,MATCH(C53,'1.10 Papeis TD'!$A$2:$A$61,0)),"")</f>
        <v/>
      </c>
      <c r="K53" t="str">
        <f t="shared" si="5"/>
        <v/>
      </c>
      <c r="L53" t="str">
        <f t="shared" si="6"/>
        <v/>
      </c>
      <c r="M53" t="str">
        <f t="shared" si="7"/>
        <v/>
      </c>
    </row>
    <row r="54" spans="4:13" x14ac:dyDescent="0.35">
      <c r="D54" s="15"/>
      <c r="E54" s="15"/>
      <c r="H54" t="str">
        <f t="shared" si="4"/>
        <v/>
      </c>
      <c r="I54" t="str">
        <f>IFERROR(INDEX('1.12 Pessoas'!$F$2:$F$61,MATCH(B54,'1.12 Pessoas'!$A$2:$A$61,0)),"")</f>
        <v/>
      </c>
      <c r="J54" t="str">
        <f>IFERROR(INDEX('1.10 Papeis TD'!$B$2:$B$61,MATCH(C54,'1.10 Papeis TD'!$A$2:$A$61,0)),"")</f>
        <v/>
      </c>
      <c r="K54" t="str">
        <f t="shared" si="5"/>
        <v/>
      </c>
      <c r="L54" t="str">
        <f t="shared" si="6"/>
        <v/>
      </c>
      <c r="M54" t="str">
        <f t="shared" si="7"/>
        <v/>
      </c>
    </row>
    <row r="55" spans="4:13" x14ac:dyDescent="0.35">
      <c r="D55" s="15"/>
      <c r="E55" s="15"/>
      <c r="H55" t="str">
        <f t="shared" si="4"/>
        <v/>
      </c>
      <c r="I55" t="str">
        <f>IFERROR(INDEX('1.12 Pessoas'!$F$2:$F$61,MATCH(B55,'1.12 Pessoas'!$A$2:$A$61,0)),"")</f>
        <v/>
      </c>
      <c r="J55" t="str">
        <f>IFERROR(INDEX('1.10 Papeis TD'!$B$2:$B$61,MATCH(C55,'1.10 Papeis TD'!$A$2:$A$61,0)),"")</f>
        <v/>
      </c>
      <c r="K55" t="str">
        <f t="shared" si="5"/>
        <v/>
      </c>
      <c r="L55" t="str">
        <f t="shared" si="6"/>
        <v/>
      </c>
      <c r="M55" t="str">
        <f t="shared" si="7"/>
        <v/>
      </c>
    </row>
    <row r="56" spans="4:13" x14ac:dyDescent="0.35">
      <c r="D56" s="15"/>
      <c r="E56" s="15"/>
      <c r="H56" t="str">
        <f t="shared" si="4"/>
        <v/>
      </c>
      <c r="I56" t="str">
        <f>IFERROR(INDEX('1.12 Pessoas'!$F$2:$F$61,MATCH(B56,'1.12 Pessoas'!$A$2:$A$61,0)),"")</f>
        <v/>
      </c>
      <c r="J56" t="str">
        <f>IFERROR(INDEX('1.10 Papeis TD'!$B$2:$B$61,MATCH(C56,'1.10 Papeis TD'!$A$2:$A$61,0)),"")</f>
        <v/>
      </c>
      <c r="K56" t="str">
        <f t="shared" si="5"/>
        <v/>
      </c>
      <c r="L56" t="str">
        <f t="shared" si="6"/>
        <v/>
      </c>
      <c r="M56" t="str">
        <f t="shared" si="7"/>
        <v/>
      </c>
    </row>
    <row r="57" spans="4:13" x14ac:dyDescent="0.35">
      <c r="D57" s="15"/>
      <c r="E57" s="15"/>
      <c r="H57" t="str">
        <f t="shared" si="4"/>
        <v/>
      </c>
      <c r="I57" t="str">
        <f>IFERROR(INDEX('1.12 Pessoas'!$F$2:$F$61,MATCH(B57,'1.12 Pessoas'!$A$2:$A$61,0)),"")</f>
        <v/>
      </c>
      <c r="J57" t="str">
        <f>IFERROR(INDEX('1.10 Papeis TD'!$B$2:$B$61,MATCH(C57,'1.10 Papeis TD'!$A$2:$A$61,0)),"")</f>
        <v/>
      </c>
      <c r="K57" t="str">
        <f t="shared" si="5"/>
        <v/>
      </c>
      <c r="L57" t="str">
        <f t="shared" si="6"/>
        <v/>
      </c>
      <c r="M57" t="str">
        <f t="shared" si="7"/>
        <v/>
      </c>
    </row>
    <row r="58" spans="4:13" x14ac:dyDescent="0.35">
      <c r="D58" s="15"/>
      <c r="E58" s="15"/>
      <c r="H58" t="str">
        <f t="shared" si="4"/>
        <v/>
      </c>
      <c r="I58" t="str">
        <f>IFERROR(INDEX('1.12 Pessoas'!$F$2:$F$61,MATCH(B58,'1.12 Pessoas'!$A$2:$A$61,0)),"")</f>
        <v/>
      </c>
      <c r="J58" t="str">
        <f>IFERROR(INDEX('1.10 Papeis TD'!$B$2:$B$61,MATCH(C58,'1.10 Papeis TD'!$A$2:$A$61,0)),"")</f>
        <v/>
      </c>
      <c r="K58" t="str">
        <f t="shared" si="5"/>
        <v/>
      </c>
      <c r="L58" t="str">
        <f t="shared" si="6"/>
        <v/>
      </c>
      <c r="M58" t="str">
        <f t="shared" si="7"/>
        <v/>
      </c>
    </row>
    <row r="59" spans="4:13" x14ac:dyDescent="0.35">
      <c r="D59" s="15"/>
      <c r="E59" s="15"/>
      <c r="H59" t="str">
        <f t="shared" si="4"/>
        <v/>
      </c>
      <c r="I59" t="str">
        <f>IFERROR(INDEX('1.12 Pessoas'!$F$2:$F$61,MATCH(B59,'1.12 Pessoas'!$A$2:$A$61,0)),"")</f>
        <v/>
      </c>
      <c r="J59" t="str">
        <f>IFERROR(INDEX('1.10 Papeis TD'!$B$2:$B$61,MATCH(C59,'1.10 Papeis TD'!$A$2:$A$61,0)),"")</f>
        <v/>
      </c>
      <c r="K59" t="str">
        <f t="shared" si="5"/>
        <v/>
      </c>
      <c r="L59" t="str">
        <f t="shared" si="6"/>
        <v/>
      </c>
      <c r="M59" t="str">
        <f t="shared" si="7"/>
        <v/>
      </c>
    </row>
    <row r="60" spans="4:13" x14ac:dyDescent="0.35">
      <c r="D60" s="15"/>
      <c r="E60" s="15"/>
      <c r="H60" t="str">
        <f t="shared" si="4"/>
        <v/>
      </c>
      <c r="I60" t="str">
        <f>IFERROR(INDEX('1.12 Pessoas'!$F$2:$F$61,MATCH(B60,'1.12 Pessoas'!$A$2:$A$61,0)),"")</f>
        <v/>
      </c>
      <c r="J60" t="str">
        <f>IFERROR(INDEX('1.10 Papeis TD'!$B$2:$B$61,MATCH(C60,'1.10 Papeis TD'!$A$2:$A$61,0)),"")</f>
        <v/>
      </c>
      <c r="K60" t="str">
        <f t="shared" si="5"/>
        <v/>
      </c>
      <c r="L60" t="str">
        <f t="shared" si="6"/>
        <v/>
      </c>
      <c r="M60" t="str">
        <f t="shared" si="7"/>
        <v/>
      </c>
    </row>
    <row r="61" spans="4:13" x14ac:dyDescent="0.35">
      <c r="D61" s="15"/>
      <c r="E61" s="15"/>
      <c r="H61" t="str">
        <f t="shared" si="4"/>
        <v/>
      </c>
      <c r="I61" t="str">
        <f>IFERROR(INDEX('1.12 Pessoas'!$F$2:$F$61,MATCH(B61,'1.12 Pessoas'!$A$2:$A$61,0)),"")</f>
        <v/>
      </c>
      <c r="J61" t="str">
        <f>IFERROR(INDEX('1.10 Papeis TD'!$B$2:$B$61,MATCH(C61,'1.10 Papeis TD'!$A$2:$A$61,0)),"")</f>
        <v/>
      </c>
      <c r="K61" t="str">
        <f t="shared" si="5"/>
        <v/>
      </c>
      <c r="L61" t="str">
        <f t="shared" si="6"/>
        <v/>
      </c>
      <c r="M61" t="str">
        <f t="shared" si="7"/>
        <v/>
      </c>
    </row>
  </sheetData>
  <autoFilter ref="A1:F1"/>
  <conditionalFormatting sqref="A3:A61">
    <cfRule type="expression" dxfId="35" priority="2">
      <formula>AND($A3="",COUNTA($A3:$F3)&gt;0)</formula>
    </cfRule>
  </conditionalFormatting>
  <conditionalFormatting sqref="B3:B61">
    <cfRule type="expression" dxfId="34" priority="3">
      <formula>AND($B3="",COUNTA($A3:$F3)&gt;0)</formula>
    </cfRule>
  </conditionalFormatting>
  <conditionalFormatting sqref="C3:C61">
    <cfRule type="expression" dxfId="33" priority="4">
      <formula>AND($C3="",COUNTA($A3:$F3)&gt;0)</formula>
    </cfRule>
  </conditionalFormatting>
  <conditionalFormatting sqref="F3:F61">
    <cfRule type="expression" dxfId="32" priority="5">
      <formula>AND($F3="",COUNTA($A3:$F3)&gt;0)</formula>
    </cfRule>
  </conditionalFormatting>
  <dataValidations count="1">
    <dataValidation type="list" allowBlank="1" sqref="F2:F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'2.6 Turmas Disc'!$I$2:$I$61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'1.12 Pessoas'!$A$2:$A$61</xm:f>
          </x14:formula1>
          <x14:formula2>
            <xm:f>0</xm:f>
          </x14:formula2>
          <xm:sqref>B2:B61</xm:sqref>
        </x14:dataValidation>
        <x14:dataValidation type="list" allowBlank="1">
          <x14:formula1>
            <xm:f>'1.10 Papeis TD'!$A$2:$A$61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B2C6F"/>
  </sheetPr>
  <dimension ref="A1:K61"/>
  <sheetViews>
    <sheetView zoomScaleNormal="100" workbookViewId="0">
      <pane ySplit="1" topLeftCell="A2" activePane="bottomLeft" state="frozen"/>
      <selection pane="bottomLeft" activeCell="E2" sqref="E2"/>
    </sheetView>
  </sheetViews>
  <sheetFormatPr defaultColWidth="8.54296875" defaultRowHeight="14.5" x14ac:dyDescent="0.35"/>
  <cols>
    <col min="1" max="1" width="26" customWidth="1"/>
    <col min="2" max="2" width="16" customWidth="1"/>
    <col min="3" max="3" width="10" customWidth="1"/>
    <col min="4" max="4" width="26" customWidth="1"/>
    <col min="5" max="5" width="16" customWidth="1"/>
    <col min="7" max="11" width="16" hidden="1" customWidth="1"/>
  </cols>
  <sheetData>
    <row r="1" spans="1:11" ht="31.5" customHeight="1" x14ac:dyDescent="0.35">
      <c r="A1" s="17" t="s">
        <v>31</v>
      </c>
      <c r="B1" s="17" t="s">
        <v>32</v>
      </c>
      <c r="C1" s="17" t="s">
        <v>53</v>
      </c>
      <c r="D1" s="17" t="s">
        <v>144</v>
      </c>
      <c r="E1" s="17" t="s">
        <v>188</v>
      </c>
      <c r="G1" s="10" t="s">
        <v>34</v>
      </c>
      <c r="H1" s="10" t="s">
        <v>35</v>
      </c>
      <c r="I1" s="10" t="s">
        <v>46</v>
      </c>
      <c r="J1" s="10" t="s">
        <v>148</v>
      </c>
      <c r="K1" s="10" t="s">
        <v>189</v>
      </c>
    </row>
    <row r="2" spans="1:11" x14ac:dyDescent="0.35">
      <c r="A2" s="11" t="s">
        <v>190</v>
      </c>
      <c r="B2" s="11" t="s">
        <v>191</v>
      </c>
      <c r="C2" s="11" t="s">
        <v>49</v>
      </c>
      <c r="D2" s="11" t="s">
        <v>124</v>
      </c>
      <c r="E2" s="11">
        <v>50</v>
      </c>
      <c r="G2" t="str">
        <f t="shared" ref="G2:G33" si="0">IF(A2="","",A2)</f>
        <v>Grupo Administração</v>
      </c>
      <c r="H2" t="str">
        <f t="shared" ref="H2:H33" si="1">IF(B2="","",B2)</f>
        <v>GRPMAT-001</v>
      </c>
      <c r="I2" t="str">
        <f t="shared" ref="I2:I33" si="2">IF(C2="Sim","true",IF(C2="Não","false",""))</f>
        <v>true</v>
      </c>
      <c r="J2" t="str">
        <f>IFERROR(INDEX('2.1 Cursos'!$B$2:$B$61,MATCH(D2,'2.1 Cursos'!$A$2:$A$61,0)),"")</f>
        <v>CUR-001</v>
      </c>
      <c r="K2" s="13">
        <f t="shared" ref="K2:K33" si="3">IF(E2="","",E2)</f>
        <v>50</v>
      </c>
    </row>
    <row r="3" spans="1:11" x14ac:dyDescent="0.35">
      <c r="G3" t="str">
        <f t="shared" si="0"/>
        <v/>
      </c>
      <c r="H3" t="str">
        <f t="shared" si="1"/>
        <v/>
      </c>
      <c r="I3" t="str">
        <f t="shared" si="2"/>
        <v/>
      </c>
      <c r="J3" t="str">
        <f>IFERROR(INDEX('2.1 Cursos'!$B$2:$B$61,MATCH(D3,'2.1 Cursos'!$A$2:$A$61,0)),"")</f>
        <v/>
      </c>
      <c r="K3" t="str">
        <f t="shared" si="3"/>
        <v/>
      </c>
    </row>
    <row r="4" spans="1:11" x14ac:dyDescent="0.35">
      <c r="G4" t="str">
        <f t="shared" si="0"/>
        <v/>
      </c>
      <c r="H4" t="str">
        <f t="shared" si="1"/>
        <v/>
      </c>
      <c r="I4" t="str">
        <f t="shared" si="2"/>
        <v/>
      </c>
      <c r="J4" t="str">
        <f>IFERROR(INDEX('2.1 Cursos'!$B$2:$B$61,MATCH(D4,'2.1 Cursos'!$A$2:$A$61,0)),"")</f>
        <v/>
      </c>
      <c r="K4" t="str">
        <f t="shared" si="3"/>
        <v/>
      </c>
    </row>
    <row r="5" spans="1:11" x14ac:dyDescent="0.35">
      <c r="G5" t="str">
        <f t="shared" si="0"/>
        <v/>
      </c>
      <c r="H5" t="str">
        <f t="shared" si="1"/>
        <v/>
      </c>
      <c r="I5" t="str">
        <f t="shared" si="2"/>
        <v/>
      </c>
      <c r="J5" t="str">
        <f>IFERROR(INDEX('2.1 Cursos'!$B$2:$B$61,MATCH(D5,'2.1 Cursos'!$A$2:$A$61,0)),"")</f>
        <v/>
      </c>
      <c r="K5" t="str">
        <f t="shared" si="3"/>
        <v/>
      </c>
    </row>
    <row r="6" spans="1:11" x14ac:dyDescent="0.35">
      <c r="G6" t="str">
        <f t="shared" si="0"/>
        <v/>
      </c>
      <c r="H6" t="str">
        <f t="shared" si="1"/>
        <v/>
      </c>
      <c r="I6" t="str">
        <f t="shared" si="2"/>
        <v/>
      </c>
      <c r="J6" t="str">
        <f>IFERROR(INDEX('2.1 Cursos'!$B$2:$B$61,MATCH(D6,'2.1 Cursos'!$A$2:$A$61,0)),"")</f>
        <v/>
      </c>
      <c r="K6" t="str">
        <f t="shared" si="3"/>
        <v/>
      </c>
    </row>
    <row r="7" spans="1:11" x14ac:dyDescent="0.35">
      <c r="G7" t="str">
        <f t="shared" si="0"/>
        <v/>
      </c>
      <c r="H7" t="str">
        <f t="shared" si="1"/>
        <v/>
      </c>
      <c r="I7" t="str">
        <f t="shared" si="2"/>
        <v/>
      </c>
      <c r="J7" t="str">
        <f>IFERROR(INDEX('2.1 Cursos'!$B$2:$B$61,MATCH(D7,'2.1 Cursos'!$A$2:$A$61,0)),"")</f>
        <v/>
      </c>
      <c r="K7" t="str">
        <f t="shared" si="3"/>
        <v/>
      </c>
    </row>
    <row r="8" spans="1:11" x14ac:dyDescent="0.35">
      <c r="G8" t="str">
        <f t="shared" si="0"/>
        <v/>
      </c>
      <c r="H8" t="str">
        <f t="shared" si="1"/>
        <v/>
      </c>
      <c r="I8" t="str">
        <f t="shared" si="2"/>
        <v/>
      </c>
      <c r="J8" t="str">
        <f>IFERROR(INDEX('2.1 Cursos'!$B$2:$B$61,MATCH(D8,'2.1 Cursos'!$A$2:$A$61,0)),"")</f>
        <v/>
      </c>
      <c r="K8" t="str">
        <f t="shared" si="3"/>
        <v/>
      </c>
    </row>
    <row r="9" spans="1:11" x14ac:dyDescent="0.35">
      <c r="G9" t="str">
        <f t="shared" si="0"/>
        <v/>
      </c>
      <c r="H9" t="str">
        <f t="shared" si="1"/>
        <v/>
      </c>
      <c r="I9" t="str">
        <f t="shared" si="2"/>
        <v/>
      </c>
      <c r="J9" t="str">
        <f>IFERROR(INDEX('2.1 Cursos'!$B$2:$B$61,MATCH(D9,'2.1 Cursos'!$A$2:$A$61,0)),"")</f>
        <v/>
      </c>
      <c r="K9" t="str">
        <f t="shared" si="3"/>
        <v/>
      </c>
    </row>
    <row r="10" spans="1:11" x14ac:dyDescent="0.35">
      <c r="G10" t="str">
        <f t="shared" si="0"/>
        <v/>
      </c>
      <c r="H10" t="str">
        <f t="shared" si="1"/>
        <v/>
      </c>
      <c r="I10" t="str">
        <f t="shared" si="2"/>
        <v/>
      </c>
      <c r="J10" t="str">
        <f>IFERROR(INDEX('2.1 Cursos'!$B$2:$B$61,MATCH(D10,'2.1 Cursos'!$A$2:$A$61,0)),"")</f>
        <v/>
      </c>
      <c r="K10" t="str">
        <f t="shared" si="3"/>
        <v/>
      </c>
    </row>
    <row r="11" spans="1:11" x14ac:dyDescent="0.35">
      <c r="G11" t="str">
        <f t="shared" si="0"/>
        <v/>
      </c>
      <c r="H11" t="str">
        <f t="shared" si="1"/>
        <v/>
      </c>
      <c r="I11" t="str">
        <f t="shared" si="2"/>
        <v/>
      </c>
      <c r="J11" t="str">
        <f>IFERROR(INDEX('2.1 Cursos'!$B$2:$B$61,MATCH(D11,'2.1 Cursos'!$A$2:$A$61,0)),"")</f>
        <v/>
      </c>
      <c r="K11" t="str">
        <f t="shared" si="3"/>
        <v/>
      </c>
    </row>
    <row r="12" spans="1:11" x14ac:dyDescent="0.35"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>IFERROR(INDEX('2.1 Cursos'!$B$2:$B$61,MATCH(D12,'2.1 Cursos'!$A$2:$A$61,0)),"")</f>
        <v/>
      </c>
      <c r="K12" t="str">
        <f t="shared" si="3"/>
        <v/>
      </c>
    </row>
    <row r="13" spans="1:11" x14ac:dyDescent="0.35"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>IFERROR(INDEX('2.1 Cursos'!$B$2:$B$61,MATCH(D13,'2.1 Cursos'!$A$2:$A$61,0)),"")</f>
        <v/>
      </c>
      <c r="K13" t="str">
        <f t="shared" si="3"/>
        <v/>
      </c>
    </row>
    <row r="14" spans="1:11" x14ac:dyDescent="0.35"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>IFERROR(INDEX('2.1 Cursos'!$B$2:$B$61,MATCH(D14,'2.1 Cursos'!$A$2:$A$61,0)),"")</f>
        <v/>
      </c>
      <c r="K14" t="str">
        <f t="shared" si="3"/>
        <v/>
      </c>
    </row>
    <row r="15" spans="1:11" x14ac:dyDescent="0.35"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>IFERROR(INDEX('2.1 Cursos'!$B$2:$B$61,MATCH(D15,'2.1 Cursos'!$A$2:$A$61,0)),"")</f>
        <v/>
      </c>
      <c r="K15" t="str">
        <f t="shared" si="3"/>
        <v/>
      </c>
    </row>
    <row r="16" spans="1:11" x14ac:dyDescent="0.35"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>IFERROR(INDEX('2.1 Cursos'!$B$2:$B$61,MATCH(D16,'2.1 Cursos'!$A$2:$A$61,0)),"")</f>
        <v/>
      </c>
      <c r="K16" t="str">
        <f t="shared" si="3"/>
        <v/>
      </c>
    </row>
    <row r="17" spans="7:11" x14ac:dyDescent="0.35">
      <c r="G17" t="str">
        <f t="shared" si="0"/>
        <v/>
      </c>
      <c r="H17" t="str">
        <f t="shared" si="1"/>
        <v/>
      </c>
      <c r="I17" t="str">
        <f t="shared" si="2"/>
        <v/>
      </c>
      <c r="J17" t="str">
        <f>IFERROR(INDEX('2.1 Cursos'!$B$2:$B$61,MATCH(D17,'2.1 Cursos'!$A$2:$A$61,0)),"")</f>
        <v/>
      </c>
      <c r="K17" t="str">
        <f t="shared" si="3"/>
        <v/>
      </c>
    </row>
    <row r="18" spans="7:11" x14ac:dyDescent="0.35"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>IFERROR(INDEX('2.1 Cursos'!$B$2:$B$61,MATCH(D18,'2.1 Cursos'!$A$2:$A$61,0)),"")</f>
        <v/>
      </c>
      <c r="K18" t="str">
        <f t="shared" si="3"/>
        <v/>
      </c>
    </row>
    <row r="19" spans="7:11" x14ac:dyDescent="0.35"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>IFERROR(INDEX('2.1 Cursos'!$B$2:$B$61,MATCH(D19,'2.1 Cursos'!$A$2:$A$61,0)),"")</f>
        <v/>
      </c>
      <c r="K19" t="str">
        <f t="shared" si="3"/>
        <v/>
      </c>
    </row>
    <row r="20" spans="7:11" x14ac:dyDescent="0.35">
      <c r="G20" t="str">
        <f t="shared" si="0"/>
        <v/>
      </c>
      <c r="H20" t="str">
        <f t="shared" si="1"/>
        <v/>
      </c>
      <c r="I20" t="str">
        <f t="shared" si="2"/>
        <v/>
      </c>
      <c r="J20" t="str">
        <f>IFERROR(INDEX('2.1 Cursos'!$B$2:$B$61,MATCH(D20,'2.1 Cursos'!$A$2:$A$61,0)),"")</f>
        <v/>
      </c>
      <c r="K20" t="str">
        <f t="shared" si="3"/>
        <v/>
      </c>
    </row>
    <row r="21" spans="7:11" x14ac:dyDescent="0.35">
      <c r="G21" t="str">
        <f t="shared" si="0"/>
        <v/>
      </c>
      <c r="H21" t="str">
        <f t="shared" si="1"/>
        <v/>
      </c>
      <c r="I21" t="str">
        <f t="shared" si="2"/>
        <v/>
      </c>
      <c r="J21" t="str">
        <f>IFERROR(INDEX('2.1 Cursos'!$B$2:$B$61,MATCH(D21,'2.1 Cursos'!$A$2:$A$61,0)),"")</f>
        <v/>
      </c>
      <c r="K21" t="str">
        <f t="shared" si="3"/>
        <v/>
      </c>
    </row>
    <row r="22" spans="7:11" x14ac:dyDescent="0.35">
      <c r="G22" t="str">
        <f t="shared" si="0"/>
        <v/>
      </c>
      <c r="H22" t="str">
        <f t="shared" si="1"/>
        <v/>
      </c>
      <c r="I22" t="str">
        <f t="shared" si="2"/>
        <v/>
      </c>
      <c r="J22" t="str">
        <f>IFERROR(INDEX('2.1 Cursos'!$B$2:$B$61,MATCH(D22,'2.1 Cursos'!$A$2:$A$61,0)),"")</f>
        <v/>
      </c>
      <c r="K22" t="str">
        <f t="shared" si="3"/>
        <v/>
      </c>
    </row>
    <row r="23" spans="7:11" x14ac:dyDescent="0.35"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>IFERROR(INDEX('2.1 Cursos'!$B$2:$B$61,MATCH(D23,'2.1 Cursos'!$A$2:$A$61,0)),"")</f>
        <v/>
      </c>
      <c r="K23" t="str">
        <f t="shared" si="3"/>
        <v/>
      </c>
    </row>
    <row r="24" spans="7:11" x14ac:dyDescent="0.35"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>IFERROR(INDEX('2.1 Cursos'!$B$2:$B$61,MATCH(D24,'2.1 Cursos'!$A$2:$A$61,0)),"")</f>
        <v/>
      </c>
      <c r="K24" t="str">
        <f t="shared" si="3"/>
        <v/>
      </c>
    </row>
    <row r="25" spans="7:11" x14ac:dyDescent="0.35"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>IFERROR(INDEX('2.1 Cursos'!$B$2:$B$61,MATCH(D25,'2.1 Cursos'!$A$2:$A$61,0)),"")</f>
        <v/>
      </c>
      <c r="K25" t="str">
        <f t="shared" si="3"/>
        <v/>
      </c>
    </row>
    <row r="26" spans="7:11" x14ac:dyDescent="0.35"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>IFERROR(INDEX('2.1 Cursos'!$B$2:$B$61,MATCH(D26,'2.1 Cursos'!$A$2:$A$61,0)),"")</f>
        <v/>
      </c>
      <c r="K26" t="str">
        <f t="shared" si="3"/>
        <v/>
      </c>
    </row>
    <row r="27" spans="7:11" x14ac:dyDescent="0.35"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>IFERROR(INDEX('2.1 Cursos'!$B$2:$B$61,MATCH(D27,'2.1 Cursos'!$A$2:$A$61,0)),"")</f>
        <v/>
      </c>
      <c r="K27" t="str">
        <f t="shared" si="3"/>
        <v/>
      </c>
    </row>
    <row r="28" spans="7:11" x14ac:dyDescent="0.35"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>IFERROR(INDEX('2.1 Cursos'!$B$2:$B$61,MATCH(D28,'2.1 Cursos'!$A$2:$A$61,0)),"")</f>
        <v/>
      </c>
      <c r="K28" t="str">
        <f t="shared" si="3"/>
        <v/>
      </c>
    </row>
    <row r="29" spans="7:11" x14ac:dyDescent="0.35"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>IFERROR(INDEX('2.1 Cursos'!$B$2:$B$61,MATCH(D29,'2.1 Cursos'!$A$2:$A$61,0)),"")</f>
        <v/>
      </c>
      <c r="K29" t="str">
        <f t="shared" si="3"/>
        <v/>
      </c>
    </row>
    <row r="30" spans="7:11" x14ac:dyDescent="0.35"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>IFERROR(INDEX('2.1 Cursos'!$B$2:$B$61,MATCH(D30,'2.1 Cursos'!$A$2:$A$61,0)),"")</f>
        <v/>
      </c>
      <c r="K30" t="str">
        <f t="shared" si="3"/>
        <v/>
      </c>
    </row>
    <row r="31" spans="7:11" x14ac:dyDescent="0.35"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>IFERROR(INDEX('2.1 Cursos'!$B$2:$B$61,MATCH(D31,'2.1 Cursos'!$A$2:$A$61,0)),"")</f>
        <v/>
      </c>
      <c r="K31" t="str">
        <f t="shared" si="3"/>
        <v/>
      </c>
    </row>
    <row r="32" spans="7:11" x14ac:dyDescent="0.35"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>IFERROR(INDEX('2.1 Cursos'!$B$2:$B$61,MATCH(D32,'2.1 Cursos'!$A$2:$A$61,0)),"")</f>
        <v/>
      </c>
      <c r="K32" t="str">
        <f t="shared" si="3"/>
        <v/>
      </c>
    </row>
    <row r="33" spans="7:11" x14ac:dyDescent="0.35"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>IFERROR(INDEX('2.1 Cursos'!$B$2:$B$61,MATCH(D33,'2.1 Cursos'!$A$2:$A$61,0)),"")</f>
        <v/>
      </c>
      <c r="K33" t="str">
        <f t="shared" si="3"/>
        <v/>
      </c>
    </row>
    <row r="34" spans="7:11" x14ac:dyDescent="0.35">
      <c r="G34" t="str">
        <f t="shared" ref="G34:G61" si="4">IF(A34="","",A34)</f>
        <v/>
      </c>
      <c r="H34" t="str">
        <f t="shared" ref="H34:H61" si="5">IF(B34="","",B34)</f>
        <v/>
      </c>
      <c r="I34" t="str">
        <f t="shared" ref="I34:I61" si="6">IF(C34="Sim","true",IF(C34="Não","false",""))</f>
        <v/>
      </c>
      <c r="J34" t="str">
        <f>IFERROR(INDEX('2.1 Cursos'!$B$2:$B$61,MATCH(D34,'2.1 Cursos'!$A$2:$A$61,0)),"")</f>
        <v/>
      </c>
      <c r="K34" t="str">
        <f t="shared" ref="K34:K61" si="7">IF(E34="","",E34)</f>
        <v/>
      </c>
    </row>
    <row r="35" spans="7:11" x14ac:dyDescent="0.35">
      <c r="G35" t="str">
        <f t="shared" si="4"/>
        <v/>
      </c>
      <c r="H35" t="str">
        <f t="shared" si="5"/>
        <v/>
      </c>
      <c r="I35" t="str">
        <f t="shared" si="6"/>
        <v/>
      </c>
      <c r="J35" t="str">
        <f>IFERROR(INDEX('2.1 Cursos'!$B$2:$B$61,MATCH(D35,'2.1 Cursos'!$A$2:$A$61,0)),"")</f>
        <v/>
      </c>
      <c r="K35" t="str">
        <f t="shared" si="7"/>
        <v/>
      </c>
    </row>
    <row r="36" spans="7:11" x14ac:dyDescent="0.35">
      <c r="G36" t="str">
        <f t="shared" si="4"/>
        <v/>
      </c>
      <c r="H36" t="str">
        <f t="shared" si="5"/>
        <v/>
      </c>
      <c r="I36" t="str">
        <f t="shared" si="6"/>
        <v/>
      </c>
      <c r="J36" t="str">
        <f>IFERROR(INDEX('2.1 Cursos'!$B$2:$B$61,MATCH(D36,'2.1 Cursos'!$A$2:$A$61,0)),"")</f>
        <v/>
      </c>
      <c r="K36" t="str">
        <f t="shared" si="7"/>
        <v/>
      </c>
    </row>
    <row r="37" spans="7:11" x14ac:dyDescent="0.35">
      <c r="G37" t="str">
        <f t="shared" si="4"/>
        <v/>
      </c>
      <c r="H37" t="str">
        <f t="shared" si="5"/>
        <v/>
      </c>
      <c r="I37" t="str">
        <f t="shared" si="6"/>
        <v/>
      </c>
      <c r="J37" t="str">
        <f>IFERROR(INDEX('2.1 Cursos'!$B$2:$B$61,MATCH(D37,'2.1 Cursos'!$A$2:$A$61,0)),"")</f>
        <v/>
      </c>
      <c r="K37" t="str">
        <f t="shared" si="7"/>
        <v/>
      </c>
    </row>
    <row r="38" spans="7:11" x14ac:dyDescent="0.35">
      <c r="G38" t="str">
        <f t="shared" si="4"/>
        <v/>
      </c>
      <c r="H38" t="str">
        <f t="shared" si="5"/>
        <v/>
      </c>
      <c r="I38" t="str">
        <f t="shared" si="6"/>
        <v/>
      </c>
      <c r="J38" t="str">
        <f>IFERROR(INDEX('2.1 Cursos'!$B$2:$B$61,MATCH(D38,'2.1 Cursos'!$A$2:$A$61,0)),"")</f>
        <v/>
      </c>
      <c r="K38" t="str">
        <f t="shared" si="7"/>
        <v/>
      </c>
    </row>
    <row r="39" spans="7:11" x14ac:dyDescent="0.35">
      <c r="G39" t="str">
        <f t="shared" si="4"/>
        <v/>
      </c>
      <c r="H39" t="str">
        <f t="shared" si="5"/>
        <v/>
      </c>
      <c r="I39" t="str">
        <f t="shared" si="6"/>
        <v/>
      </c>
      <c r="J39" t="str">
        <f>IFERROR(INDEX('2.1 Cursos'!$B$2:$B$61,MATCH(D39,'2.1 Cursos'!$A$2:$A$61,0)),"")</f>
        <v/>
      </c>
      <c r="K39" t="str">
        <f t="shared" si="7"/>
        <v/>
      </c>
    </row>
    <row r="40" spans="7:11" x14ac:dyDescent="0.35">
      <c r="G40" t="str">
        <f t="shared" si="4"/>
        <v/>
      </c>
      <c r="H40" t="str">
        <f t="shared" si="5"/>
        <v/>
      </c>
      <c r="I40" t="str">
        <f t="shared" si="6"/>
        <v/>
      </c>
      <c r="J40" t="str">
        <f>IFERROR(INDEX('2.1 Cursos'!$B$2:$B$61,MATCH(D40,'2.1 Cursos'!$A$2:$A$61,0)),"")</f>
        <v/>
      </c>
      <c r="K40" t="str">
        <f t="shared" si="7"/>
        <v/>
      </c>
    </row>
    <row r="41" spans="7:11" x14ac:dyDescent="0.35">
      <c r="G41" t="str">
        <f t="shared" si="4"/>
        <v/>
      </c>
      <c r="H41" t="str">
        <f t="shared" si="5"/>
        <v/>
      </c>
      <c r="I41" t="str">
        <f t="shared" si="6"/>
        <v/>
      </c>
      <c r="J41" t="str">
        <f>IFERROR(INDEX('2.1 Cursos'!$B$2:$B$61,MATCH(D41,'2.1 Cursos'!$A$2:$A$61,0)),"")</f>
        <v/>
      </c>
      <c r="K41" t="str">
        <f t="shared" si="7"/>
        <v/>
      </c>
    </row>
    <row r="42" spans="7:11" x14ac:dyDescent="0.35">
      <c r="G42" t="str">
        <f t="shared" si="4"/>
        <v/>
      </c>
      <c r="H42" t="str">
        <f t="shared" si="5"/>
        <v/>
      </c>
      <c r="I42" t="str">
        <f t="shared" si="6"/>
        <v/>
      </c>
      <c r="J42" t="str">
        <f>IFERROR(INDEX('2.1 Cursos'!$B$2:$B$61,MATCH(D42,'2.1 Cursos'!$A$2:$A$61,0)),"")</f>
        <v/>
      </c>
      <c r="K42" t="str">
        <f t="shared" si="7"/>
        <v/>
      </c>
    </row>
    <row r="43" spans="7:11" x14ac:dyDescent="0.35">
      <c r="G43" t="str">
        <f t="shared" si="4"/>
        <v/>
      </c>
      <c r="H43" t="str">
        <f t="shared" si="5"/>
        <v/>
      </c>
      <c r="I43" t="str">
        <f t="shared" si="6"/>
        <v/>
      </c>
      <c r="J43" t="str">
        <f>IFERROR(INDEX('2.1 Cursos'!$B$2:$B$61,MATCH(D43,'2.1 Cursos'!$A$2:$A$61,0)),"")</f>
        <v/>
      </c>
      <c r="K43" t="str">
        <f t="shared" si="7"/>
        <v/>
      </c>
    </row>
    <row r="44" spans="7:11" x14ac:dyDescent="0.35">
      <c r="G44" t="str">
        <f t="shared" si="4"/>
        <v/>
      </c>
      <c r="H44" t="str">
        <f t="shared" si="5"/>
        <v/>
      </c>
      <c r="I44" t="str">
        <f t="shared" si="6"/>
        <v/>
      </c>
      <c r="J44" t="str">
        <f>IFERROR(INDEX('2.1 Cursos'!$B$2:$B$61,MATCH(D44,'2.1 Cursos'!$A$2:$A$61,0)),"")</f>
        <v/>
      </c>
      <c r="K44" t="str">
        <f t="shared" si="7"/>
        <v/>
      </c>
    </row>
    <row r="45" spans="7:11" x14ac:dyDescent="0.35">
      <c r="G45" t="str">
        <f t="shared" si="4"/>
        <v/>
      </c>
      <c r="H45" t="str">
        <f t="shared" si="5"/>
        <v/>
      </c>
      <c r="I45" t="str">
        <f t="shared" si="6"/>
        <v/>
      </c>
      <c r="J45" t="str">
        <f>IFERROR(INDEX('2.1 Cursos'!$B$2:$B$61,MATCH(D45,'2.1 Cursos'!$A$2:$A$61,0)),"")</f>
        <v/>
      </c>
      <c r="K45" t="str">
        <f t="shared" si="7"/>
        <v/>
      </c>
    </row>
    <row r="46" spans="7:11" x14ac:dyDescent="0.35">
      <c r="G46" t="str">
        <f t="shared" si="4"/>
        <v/>
      </c>
      <c r="H46" t="str">
        <f t="shared" si="5"/>
        <v/>
      </c>
      <c r="I46" t="str">
        <f t="shared" si="6"/>
        <v/>
      </c>
      <c r="J46" t="str">
        <f>IFERROR(INDEX('2.1 Cursos'!$B$2:$B$61,MATCH(D46,'2.1 Cursos'!$A$2:$A$61,0)),"")</f>
        <v/>
      </c>
      <c r="K46" t="str">
        <f t="shared" si="7"/>
        <v/>
      </c>
    </row>
    <row r="47" spans="7:11" x14ac:dyDescent="0.35">
      <c r="G47" t="str">
        <f t="shared" si="4"/>
        <v/>
      </c>
      <c r="H47" t="str">
        <f t="shared" si="5"/>
        <v/>
      </c>
      <c r="I47" t="str">
        <f t="shared" si="6"/>
        <v/>
      </c>
      <c r="J47" t="str">
        <f>IFERROR(INDEX('2.1 Cursos'!$B$2:$B$61,MATCH(D47,'2.1 Cursos'!$A$2:$A$61,0)),"")</f>
        <v/>
      </c>
      <c r="K47" t="str">
        <f t="shared" si="7"/>
        <v/>
      </c>
    </row>
    <row r="48" spans="7:11" x14ac:dyDescent="0.35">
      <c r="G48" t="str">
        <f t="shared" si="4"/>
        <v/>
      </c>
      <c r="H48" t="str">
        <f t="shared" si="5"/>
        <v/>
      </c>
      <c r="I48" t="str">
        <f t="shared" si="6"/>
        <v/>
      </c>
      <c r="J48" t="str">
        <f>IFERROR(INDEX('2.1 Cursos'!$B$2:$B$61,MATCH(D48,'2.1 Cursos'!$A$2:$A$61,0)),"")</f>
        <v/>
      </c>
      <c r="K48" t="str">
        <f t="shared" si="7"/>
        <v/>
      </c>
    </row>
    <row r="49" spans="7:11" x14ac:dyDescent="0.35">
      <c r="G49" t="str">
        <f t="shared" si="4"/>
        <v/>
      </c>
      <c r="H49" t="str">
        <f t="shared" si="5"/>
        <v/>
      </c>
      <c r="I49" t="str">
        <f t="shared" si="6"/>
        <v/>
      </c>
      <c r="J49" t="str">
        <f>IFERROR(INDEX('2.1 Cursos'!$B$2:$B$61,MATCH(D49,'2.1 Cursos'!$A$2:$A$61,0)),"")</f>
        <v/>
      </c>
      <c r="K49" t="str">
        <f t="shared" si="7"/>
        <v/>
      </c>
    </row>
    <row r="50" spans="7:11" x14ac:dyDescent="0.35">
      <c r="G50" t="str">
        <f t="shared" si="4"/>
        <v/>
      </c>
      <c r="H50" t="str">
        <f t="shared" si="5"/>
        <v/>
      </c>
      <c r="I50" t="str">
        <f t="shared" si="6"/>
        <v/>
      </c>
      <c r="J50" t="str">
        <f>IFERROR(INDEX('2.1 Cursos'!$B$2:$B$61,MATCH(D50,'2.1 Cursos'!$A$2:$A$61,0)),"")</f>
        <v/>
      </c>
      <c r="K50" t="str">
        <f t="shared" si="7"/>
        <v/>
      </c>
    </row>
    <row r="51" spans="7:11" x14ac:dyDescent="0.35">
      <c r="G51" t="str">
        <f t="shared" si="4"/>
        <v/>
      </c>
      <c r="H51" t="str">
        <f t="shared" si="5"/>
        <v/>
      </c>
      <c r="I51" t="str">
        <f t="shared" si="6"/>
        <v/>
      </c>
      <c r="J51" t="str">
        <f>IFERROR(INDEX('2.1 Cursos'!$B$2:$B$61,MATCH(D51,'2.1 Cursos'!$A$2:$A$61,0)),"")</f>
        <v/>
      </c>
      <c r="K51" t="str">
        <f t="shared" si="7"/>
        <v/>
      </c>
    </row>
    <row r="52" spans="7:11" x14ac:dyDescent="0.35">
      <c r="G52" t="str">
        <f t="shared" si="4"/>
        <v/>
      </c>
      <c r="H52" t="str">
        <f t="shared" si="5"/>
        <v/>
      </c>
      <c r="I52" t="str">
        <f t="shared" si="6"/>
        <v/>
      </c>
      <c r="J52" t="str">
        <f>IFERROR(INDEX('2.1 Cursos'!$B$2:$B$61,MATCH(D52,'2.1 Cursos'!$A$2:$A$61,0)),"")</f>
        <v/>
      </c>
      <c r="K52" t="str">
        <f t="shared" si="7"/>
        <v/>
      </c>
    </row>
    <row r="53" spans="7:11" x14ac:dyDescent="0.35">
      <c r="G53" t="str">
        <f t="shared" si="4"/>
        <v/>
      </c>
      <c r="H53" t="str">
        <f t="shared" si="5"/>
        <v/>
      </c>
      <c r="I53" t="str">
        <f t="shared" si="6"/>
        <v/>
      </c>
      <c r="J53" t="str">
        <f>IFERROR(INDEX('2.1 Cursos'!$B$2:$B$61,MATCH(D53,'2.1 Cursos'!$A$2:$A$61,0)),"")</f>
        <v/>
      </c>
      <c r="K53" t="str">
        <f t="shared" si="7"/>
        <v/>
      </c>
    </row>
    <row r="54" spans="7:11" x14ac:dyDescent="0.35">
      <c r="G54" t="str">
        <f t="shared" si="4"/>
        <v/>
      </c>
      <c r="H54" t="str">
        <f t="shared" si="5"/>
        <v/>
      </c>
      <c r="I54" t="str">
        <f t="shared" si="6"/>
        <v/>
      </c>
      <c r="J54" t="str">
        <f>IFERROR(INDEX('2.1 Cursos'!$B$2:$B$61,MATCH(D54,'2.1 Cursos'!$A$2:$A$61,0)),"")</f>
        <v/>
      </c>
      <c r="K54" t="str">
        <f t="shared" si="7"/>
        <v/>
      </c>
    </row>
    <row r="55" spans="7:11" x14ac:dyDescent="0.35">
      <c r="G55" t="str">
        <f t="shared" si="4"/>
        <v/>
      </c>
      <c r="H55" t="str">
        <f t="shared" si="5"/>
        <v/>
      </c>
      <c r="I55" t="str">
        <f t="shared" si="6"/>
        <v/>
      </c>
      <c r="J55" t="str">
        <f>IFERROR(INDEX('2.1 Cursos'!$B$2:$B$61,MATCH(D55,'2.1 Cursos'!$A$2:$A$61,0)),"")</f>
        <v/>
      </c>
      <c r="K55" t="str">
        <f t="shared" si="7"/>
        <v/>
      </c>
    </row>
    <row r="56" spans="7:11" x14ac:dyDescent="0.35">
      <c r="G56" t="str">
        <f t="shared" si="4"/>
        <v/>
      </c>
      <c r="H56" t="str">
        <f t="shared" si="5"/>
        <v/>
      </c>
      <c r="I56" t="str">
        <f t="shared" si="6"/>
        <v/>
      </c>
      <c r="J56" t="str">
        <f>IFERROR(INDEX('2.1 Cursos'!$B$2:$B$61,MATCH(D56,'2.1 Cursos'!$A$2:$A$61,0)),"")</f>
        <v/>
      </c>
      <c r="K56" t="str">
        <f t="shared" si="7"/>
        <v/>
      </c>
    </row>
    <row r="57" spans="7:11" x14ac:dyDescent="0.35">
      <c r="G57" t="str">
        <f t="shared" si="4"/>
        <v/>
      </c>
      <c r="H57" t="str">
        <f t="shared" si="5"/>
        <v/>
      </c>
      <c r="I57" t="str">
        <f t="shared" si="6"/>
        <v/>
      </c>
      <c r="J57" t="str">
        <f>IFERROR(INDEX('2.1 Cursos'!$B$2:$B$61,MATCH(D57,'2.1 Cursos'!$A$2:$A$61,0)),"")</f>
        <v/>
      </c>
      <c r="K57" t="str">
        <f t="shared" si="7"/>
        <v/>
      </c>
    </row>
    <row r="58" spans="7:11" x14ac:dyDescent="0.35">
      <c r="G58" t="str">
        <f t="shared" si="4"/>
        <v/>
      </c>
      <c r="H58" t="str">
        <f t="shared" si="5"/>
        <v/>
      </c>
      <c r="I58" t="str">
        <f t="shared" si="6"/>
        <v/>
      </c>
      <c r="J58" t="str">
        <f>IFERROR(INDEX('2.1 Cursos'!$B$2:$B$61,MATCH(D58,'2.1 Cursos'!$A$2:$A$61,0)),"")</f>
        <v/>
      </c>
      <c r="K58" t="str">
        <f t="shared" si="7"/>
        <v/>
      </c>
    </row>
    <row r="59" spans="7:11" x14ac:dyDescent="0.35">
      <c r="G59" t="str">
        <f t="shared" si="4"/>
        <v/>
      </c>
      <c r="H59" t="str">
        <f t="shared" si="5"/>
        <v/>
      </c>
      <c r="I59" t="str">
        <f t="shared" si="6"/>
        <v/>
      </c>
      <c r="J59" t="str">
        <f>IFERROR(INDEX('2.1 Cursos'!$B$2:$B$61,MATCH(D59,'2.1 Cursos'!$A$2:$A$61,0)),"")</f>
        <v/>
      </c>
      <c r="K59" t="str">
        <f t="shared" si="7"/>
        <v/>
      </c>
    </row>
    <row r="60" spans="7:11" x14ac:dyDescent="0.35">
      <c r="G60" t="str">
        <f t="shared" si="4"/>
        <v/>
      </c>
      <c r="H60" t="str">
        <f t="shared" si="5"/>
        <v/>
      </c>
      <c r="I60" t="str">
        <f t="shared" si="6"/>
        <v/>
      </c>
      <c r="J60" t="str">
        <f>IFERROR(INDEX('2.1 Cursos'!$B$2:$B$61,MATCH(D60,'2.1 Cursos'!$A$2:$A$61,0)),"")</f>
        <v/>
      </c>
      <c r="K60" t="str">
        <f t="shared" si="7"/>
        <v/>
      </c>
    </row>
    <row r="61" spans="7:11" x14ac:dyDescent="0.35">
      <c r="G61" t="str">
        <f t="shared" si="4"/>
        <v/>
      </c>
      <c r="H61" t="str">
        <f t="shared" si="5"/>
        <v/>
      </c>
      <c r="I61" t="str">
        <f t="shared" si="6"/>
        <v/>
      </c>
      <c r="J61" t="str">
        <f>IFERROR(INDEX('2.1 Cursos'!$B$2:$B$61,MATCH(D61,'2.1 Cursos'!$A$2:$A$61,0)),"")</f>
        <v/>
      </c>
      <c r="K61" t="str">
        <f t="shared" si="7"/>
        <v/>
      </c>
    </row>
  </sheetData>
  <autoFilter ref="A1:E1"/>
  <conditionalFormatting sqref="A3:A61">
    <cfRule type="expression" dxfId="31" priority="2">
      <formula>AND($A3="",COUNTA($A3:$E3)&gt;0)</formula>
    </cfRule>
  </conditionalFormatting>
  <conditionalFormatting sqref="B3:B61">
    <cfRule type="expression" dxfId="30" priority="3">
      <formula>AND($B3="",COUNTA($A3:$E3)&gt;0)</formula>
    </cfRule>
  </conditionalFormatting>
  <conditionalFormatting sqref="C3:C61">
    <cfRule type="expression" dxfId="29" priority="4">
      <formula>AND($C3="",COUNTA($A3:$E3)&gt;0)</formula>
    </cfRule>
  </conditionalFormatting>
  <conditionalFormatting sqref="D3:D61">
    <cfRule type="expression" dxfId="28" priority="5">
      <formula>AND($D3="",COUNTA($A3:$E3)&gt;0)</formula>
    </cfRule>
  </conditionalFormatting>
  <conditionalFormatting sqref="E3:E61">
    <cfRule type="expression" dxfId="27" priority="6">
      <formula>AND($E3="",COUNTA($A3:$E3)&gt;0)</formula>
    </cfRule>
  </conditionalFormatting>
  <dataValidations count="4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00 caracteres" sqref="A2:A61">
      <formula1>100</formula1>
      <formula2>0</formula2>
    </dataValidation>
    <dataValidation type="decimal" operator="greaterThanOrEqual" allowBlank="1" error="Informe um número" sqref="E2:E61">
      <formula1>0</formula1>
      <formula2>0</formula2>
    </dataValidation>
    <dataValidation type="list" allowBlank="1" sqref="C2:C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'2.1 Cursos'!$A$2:$A$61</xm:f>
          </x14:formula1>
          <x14:formula2>
            <xm:f>0</xm:f>
          </x14:formula2>
          <xm:sqref>D2:D61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B2C6F"/>
  </sheetPr>
  <dimension ref="A1:Y61"/>
  <sheetViews>
    <sheetView zoomScaleNormal="100" workbookViewId="0">
      <pane ySplit="1" topLeftCell="A2" activePane="bottomLeft" state="frozen"/>
      <selection pane="bottomLeft" activeCell="B7" sqref="B7"/>
    </sheetView>
  </sheetViews>
  <sheetFormatPr defaultColWidth="8.54296875" defaultRowHeight="14.5" x14ac:dyDescent="0.35"/>
  <cols>
    <col min="1" max="2" width="24" customWidth="1"/>
    <col min="3" max="3" width="26" customWidth="1"/>
    <col min="4" max="4" width="14" customWidth="1"/>
    <col min="5" max="5" width="22" customWidth="1"/>
    <col min="6" max="6" width="20" customWidth="1"/>
    <col min="7" max="7" width="18" customWidth="1"/>
    <col min="8" max="8" width="14" customWidth="1"/>
    <col min="9" max="9" width="12" customWidth="1"/>
    <col min="10" max="10" width="14" customWidth="1"/>
    <col min="11" max="11" width="24" customWidth="1"/>
    <col min="12" max="12" width="20" customWidth="1"/>
    <col min="14" max="25" width="16" hidden="1" customWidth="1"/>
  </cols>
  <sheetData>
    <row r="1" spans="1:25" ht="31.5" customHeight="1" x14ac:dyDescent="0.35">
      <c r="A1" s="17" t="s">
        <v>192</v>
      </c>
      <c r="B1" s="17" t="s">
        <v>144</v>
      </c>
      <c r="C1" s="17" t="s">
        <v>151</v>
      </c>
      <c r="D1" s="17" t="s">
        <v>193</v>
      </c>
      <c r="E1" s="17" t="s">
        <v>194</v>
      </c>
      <c r="F1" s="17" t="s">
        <v>195</v>
      </c>
      <c r="G1" s="17" t="s">
        <v>196</v>
      </c>
      <c r="H1" s="17" t="s">
        <v>32</v>
      </c>
      <c r="I1" s="17" t="s">
        <v>197</v>
      </c>
      <c r="J1" s="17" t="s">
        <v>164</v>
      </c>
      <c r="K1" s="17" t="s">
        <v>198</v>
      </c>
      <c r="L1" s="17" t="s">
        <v>199</v>
      </c>
      <c r="N1" s="10" t="s">
        <v>200</v>
      </c>
      <c r="O1" s="10" t="s">
        <v>148</v>
      </c>
      <c r="P1" s="10" t="s">
        <v>156</v>
      </c>
      <c r="Q1" s="10" t="s">
        <v>170</v>
      </c>
      <c r="R1" s="10" t="s">
        <v>201</v>
      </c>
      <c r="S1" s="10" t="s">
        <v>202</v>
      </c>
      <c r="T1" s="10" t="s">
        <v>203</v>
      </c>
      <c r="U1" s="10" t="s">
        <v>35</v>
      </c>
      <c r="V1" s="10" t="s">
        <v>204</v>
      </c>
      <c r="W1" s="10" t="s">
        <v>171</v>
      </c>
      <c r="X1" s="10" t="s">
        <v>205</v>
      </c>
      <c r="Y1" s="10" t="s">
        <v>206</v>
      </c>
    </row>
    <row r="2" spans="1:25" x14ac:dyDescent="0.35">
      <c r="A2" s="11" t="s">
        <v>104</v>
      </c>
      <c r="B2" s="11" t="s">
        <v>124</v>
      </c>
      <c r="C2" s="11" t="s">
        <v>149</v>
      </c>
      <c r="D2" s="11" t="s">
        <v>140</v>
      </c>
      <c r="E2" s="11" t="s">
        <v>27</v>
      </c>
      <c r="F2" s="11" t="s">
        <v>61</v>
      </c>
      <c r="G2" s="11" t="s">
        <v>207</v>
      </c>
      <c r="H2" s="11" t="s">
        <v>208</v>
      </c>
      <c r="I2" s="11">
        <v>1</v>
      </c>
      <c r="J2" s="11" t="s">
        <v>50</v>
      </c>
      <c r="K2" s="11" t="s">
        <v>190</v>
      </c>
      <c r="L2" s="11" t="s">
        <v>57</v>
      </c>
      <c r="N2" t="str">
        <f>IFERROR(INDEX('3.2 Estudantes'!$D$2:$D$61,MATCH(A2,'3.2 Estudantes'!$A$2:$A$61,0)),"")</f>
        <v>PES-001</v>
      </c>
      <c r="O2" t="str">
        <f>IFERROR(INDEX('2.1 Cursos'!$B$2:$B$61,MATCH(B2,'2.1 Cursos'!$A$2:$A$61,0)),"")</f>
        <v>CUR-001</v>
      </c>
      <c r="P2" t="str">
        <f>IFERROR(INDEX('2.4 Curriculos'!$C$2:$C$61,MATCH(C2,'2.4 Curriculos'!$B$2:$B$61,0)),"")</f>
        <v>CR-001</v>
      </c>
      <c r="Q2" t="str">
        <f>IFERROR(INDEX('2.3 Periodos'!$B$2:$B$61,MATCH(D2,'2.3 Periodos'!$A$2:$A$61,0)),"")</f>
        <v>PER-001</v>
      </c>
      <c r="R2" t="str">
        <f>IFERROR(INDEX('1.5 Campus'!$B$2:$B$61,MATCH(E2,'1.5 Campus'!$A$2:$A$61,0)),"")</f>
        <v>CAMP-001</v>
      </c>
      <c r="S2" t="str">
        <f>IFERROR(INDEX('1.7 Sit Matricula'!$B$2:$B$61,MATCH(F2,'1.7 Sit Matricula'!$A$2:$A$61,0)),"")</f>
        <v>STATUS-001</v>
      </c>
      <c r="T2" t="str">
        <f t="shared" ref="T2:T33" si="0">IF(G2="","",G2)</f>
        <v>20260001</v>
      </c>
      <c r="U2" t="str">
        <f t="shared" ref="U2:U33" si="1">IF(H2="","",H2)</f>
        <v>ENR-001</v>
      </c>
      <c r="V2" s="13">
        <f t="shared" ref="V2:V33" si="2">IF(I2="","",I2)</f>
        <v>1</v>
      </c>
      <c r="W2" t="str">
        <f>IFERROR(INDEX('1.4 Turnos'!$B$2:$B$61,MATCH(J2,'1.4 Turnos'!$A$2:$A$61,0)),"")</f>
        <v>TUR-001</v>
      </c>
      <c r="X2" t="str">
        <f>IFERROR(INDEX('4.1 Grupos Matricula'!$B$2:$B$61,MATCH(K2,'4.1 Grupos Matricula'!$A$2:$A$61,0)),"")</f>
        <v>GRPMAT-001</v>
      </c>
      <c r="Y2" t="str">
        <f>IFERROR(INDEX('1.6 Polos'!$B$2:$B$61,MATCH(L2,'1.6 Polos'!$A$2:$A$61,0)),"")</f>
        <v>POL-001</v>
      </c>
    </row>
    <row r="3" spans="1:25" x14ac:dyDescent="0.35">
      <c r="N3" t="str">
        <f>IFERROR(INDEX('3.2 Estudantes'!$D$2:$D$61,MATCH(A3,'3.2 Estudantes'!$A$2:$A$61,0)),"")</f>
        <v/>
      </c>
      <c r="O3" t="str">
        <f>IFERROR(INDEX('2.1 Cursos'!$B$2:$B$61,MATCH(B3,'2.1 Cursos'!$A$2:$A$61,0)),"")</f>
        <v/>
      </c>
      <c r="P3" t="str">
        <f>IFERROR(INDEX('2.4 Curriculos'!$C$2:$C$61,MATCH(C3,'2.4 Curriculos'!$B$2:$B$61,0)),"")</f>
        <v/>
      </c>
      <c r="Q3" t="str">
        <f>IFERROR(INDEX('2.3 Periodos'!$B$2:$B$61,MATCH(D3,'2.3 Periodos'!$A$2:$A$61,0)),"")</f>
        <v/>
      </c>
      <c r="R3" t="str">
        <f>IFERROR(INDEX('1.5 Campus'!$B$2:$B$61,MATCH(E3,'1.5 Campus'!$A$2:$A$61,0)),"")</f>
        <v/>
      </c>
      <c r="S3" t="str">
        <f>IFERROR(INDEX('1.7 Sit Matricula'!$B$2:$B$61,MATCH(F3,'1.7 Sit Matricula'!$A$2:$A$61,0)),"")</f>
        <v/>
      </c>
      <c r="T3" t="str">
        <f t="shared" si="0"/>
        <v/>
      </c>
      <c r="U3" t="str">
        <f t="shared" si="1"/>
        <v/>
      </c>
      <c r="V3" t="str">
        <f t="shared" si="2"/>
        <v/>
      </c>
      <c r="W3" t="str">
        <f>IFERROR(INDEX('1.4 Turnos'!$B$2:$B$61,MATCH(J3,'1.4 Turnos'!$A$2:$A$61,0)),"")</f>
        <v/>
      </c>
      <c r="X3" t="str">
        <f>IFERROR(INDEX('4.1 Grupos Matricula'!$B$2:$B$61,MATCH(K3,'4.1 Grupos Matricula'!$A$2:$A$61,0)),"")</f>
        <v/>
      </c>
      <c r="Y3" t="str">
        <f>IFERROR(INDEX('1.6 Polos'!$B$2:$B$61,MATCH(L3,'1.6 Polos'!$A$2:$A$61,0)),"")</f>
        <v/>
      </c>
    </row>
    <row r="4" spans="1:25" x14ac:dyDescent="0.35">
      <c r="N4" t="str">
        <f>IFERROR(INDEX('3.2 Estudantes'!$D$2:$D$61,MATCH(A4,'3.2 Estudantes'!$A$2:$A$61,0)),"")</f>
        <v/>
      </c>
      <c r="O4" t="str">
        <f>IFERROR(INDEX('2.1 Cursos'!$B$2:$B$61,MATCH(B4,'2.1 Cursos'!$A$2:$A$61,0)),"")</f>
        <v/>
      </c>
      <c r="P4" t="str">
        <f>IFERROR(INDEX('2.4 Curriculos'!$C$2:$C$61,MATCH(C4,'2.4 Curriculos'!$B$2:$B$61,0)),"")</f>
        <v/>
      </c>
      <c r="Q4" t="str">
        <f>IFERROR(INDEX('2.3 Periodos'!$B$2:$B$61,MATCH(D4,'2.3 Periodos'!$A$2:$A$61,0)),"")</f>
        <v/>
      </c>
      <c r="R4" t="str">
        <f>IFERROR(INDEX('1.5 Campus'!$B$2:$B$61,MATCH(E4,'1.5 Campus'!$A$2:$A$61,0)),"")</f>
        <v/>
      </c>
      <c r="S4" t="str">
        <f>IFERROR(INDEX('1.7 Sit Matricula'!$B$2:$B$61,MATCH(F4,'1.7 Sit Matricula'!$A$2:$A$61,0)),"")</f>
        <v/>
      </c>
      <c r="T4" t="str">
        <f t="shared" si="0"/>
        <v/>
      </c>
      <c r="U4" t="str">
        <f t="shared" si="1"/>
        <v/>
      </c>
      <c r="V4" t="str">
        <f t="shared" si="2"/>
        <v/>
      </c>
      <c r="W4" t="str">
        <f>IFERROR(INDEX('1.4 Turnos'!$B$2:$B$61,MATCH(J4,'1.4 Turnos'!$A$2:$A$61,0)),"")</f>
        <v/>
      </c>
      <c r="X4" t="str">
        <f>IFERROR(INDEX('4.1 Grupos Matricula'!$B$2:$B$61,MATCH(K4,'4.1 Grupos Matricula'!$A$2:$A$61,0)),"")</f>
        <v/>
      </c>
      <c r="Y4" t="str">
        <f>IFERROR(INDEX('1.6 Polos'!$B$2:$B$61,MATCH(L4,'1.6 Polos'!$A$2:$A$61,0)),"")</f>
        <v/>
      </c>
    </row>
    <row r="5" spans="1:25" x14ac:dyDescent="0.35">
      <c r="N5" t="str">
        <f>IFERROR(INDEX('3.2 Estudantes'!$D$2:$D$61,MATCH(A5,'3.2 Estudantes'!$A$2:$A$61,0)),"")</f>
        <v/>
      </c>
      <c r="O5" t="str">
        <f>IFERROR(INDEX('2.1 Cursos'!$B$2:$B$61,MATCH(B5,'2.1 Cursos'!$A$2:$A$61,0)),"")</f>
        <v/>
      </c>
      <c r="P5" t="str">
        <f>IFERROR(INDEX('2.4 Curriculos'!$C$2:$C$61,MATCH(C5,'2.4 Curriculos'!$B$2:$B$61,0)),"")</f>
        <v/>
      </c>
      <c r="Q5" t="str">
        <f>IFERROR(INDEX('2.3 Periodos'!$B$2:$B$61,MATCH(D5,'2.3 Periodos'!$A$2:$A$61,0)),"")</f>
        <v/>
      </c>
      <c r="R5" t="str">
        <f>IFERROR(INDEX('1.5 Campus'!$B$2:$B$61,MATCH(E5,'1.5 Campus'!$A$2:$A$61,0)),"")</f>
        <v/>
      </c>
      <c r="S5" t="str">
        <f>IFERROR(INDEX('1.7 Sit Matricula'!$B$2:$B$61,MATCH(F5,'1.7 Sit Matricula'!$A$2:$A$61,0)),"")</f>
        <v/>
      </c>
      <c r="T5" t="str">
        <f t="shared" si="0"/>
        <v/>
      </c>
      <c r="U5" t="str">
        <f t="shared" si="1"/>
        <v/>
      </c>
      <c r="V5" t="str">
        <f t="shared" si="2"/>
        <v/>
      </c>
      <c r="W5" t="str">
        <f>IFERROR(INDEX('1.4 Turnos'!$B$2:$B$61,MATCH(J5,'1.4 Turnos'!$A$2:$A$61,0)),"")</f>
        <v/>
      </c>
      <c r="X5" t="str">
        <f>IFERROR(INDEX('4.1 Grupos Matricula'!$B$2:$B$61,MATCH(K5,'4.1 Grupos Matricula'!$A$2:$A$61,0)),"")</f>
        <v/>
      </c>
      <c r="Y5" t="str">
        <f>IFERROR(INDEX('1.6 Polos'!$B$2:$B$61,MATCH(L5,'1.6 Polos'!$A$2:$A$61,0)),"")</f>
        <v/>
      </c>
    </row>
    <row r="6" spans="1:25" x14ac:dyDescent="0.35">
      <c r="N6" t="str">
        <f>IFERROR(INDEX('3.2 Estudantes'!$D$2:$D$61,MATCH(A6,'3.2 Estudantes'!$A$2:$A$61,0)),"")</f>
        <v/>
      </c>
      <c r="O6" t="str">
        <f>IFERROR(INDEX('2.1 Cursos'!$B$2:$B$61,MATCH(B6,'2.1 Cursos'!$A$2:$A$61,0)),"")</f>
        <v/>
      </c>
      <c r="P6" t="str">
        <f>IFERROR(INDEX('2.4 Curriculos'!$C$2:$C$61,MATCH(C6,'2.4 Curriculos'!$B$2:$B$61,0)),"")</f>
        <v/>
      </c>
      <c r="Q6" t="str">
        <f>IFERROR(INDEX('2.3 Periodos'!$B$2:$B$61,MATCH(D6,'2.3 Periodos'!$A$2:$A$61,0)),"")</f>
        <v/>
      </c>
      <c r="R6" t="str">
        <f>IFERROR(INDEX('1.5 Campus'!$B$2:$B$61,MATCH(E6,'1.5 Campus'!$A$2:$A$61,0)),"")</f>
        <v/>
      </c>
      <c r="S6" t="str">
        <f>IFERROR(INDEX('1.7 Sit Matricula'!$B$2:$B$61,MATCH(F6,'1.7 Sit Matricula'!$A$2:$A$61,0)),"")</f>
        <v/>
      </c>
      <c r="T6" t="str">
        <f t="shared" si="0"/>
        <v/>
      </c>
      <c r="U6" t="str">
        <f t="shared" si="1"/>
        <v/>
      </c>
      <c r="V6" t="str">
        <f t="shared" si="2"/>
        <v/>
      </c>
      <c r="W6" t="str">
        <f>IFERROR(INDEX('1.4 Turnos'!$B$2:$B$61,MATCH(J6,'1.4 Turnos'!$A$2:$A$61,0)),"")</f>
        <v/>
      </c>
      <c r="X6" t="str">
        <f>IFERROR(INDEX('4.1 Grupos Matricula'!$B$2:$B$61,MATCH(K6,'4.1 Grupos Matricula'!$A$2:$A$61,0)),"")</f>
        <v/>
      </c>
      <c r="Y6" t="str">
        <f>IFERROR(INDEX('1.6 Polos'!$B$2:$B$61,MATCH(L6,'1.6 Polos'!$A$2:$A$61,0)),"")</f>
        <v/>
      </c>
    </row>
    <row r="7" spans="1:25" x14ac:dyDescent="0.35">
      <c r="N7" t="str">
        <f>IFERROR(INDEX('3.2 Estudantes'!$D$2:$D$61,MATCH(A7,'3.2 Estudantes'!$A$2:$A$61,0)),"")</f>
        <v/>
      </c>
      <c r="O7" t="str">
        <f>IFERROR(INDEX('2.1 Cursos'!$B$2:$B$61,MATCH(B7,'2.1 Cursos'!$A$2:$A$61,0)),"")</f>
        <v/>
      </c>
      <c r="P7" t="str">
        <f>IFERROR(INDEX('2.4 Curriculos'!$C$2:$C$61,MATCH(C7,'2.4 Curriculos'!$B$2:$B$61,0)),"")</f>
        <v/>
      </c>
      <c r="Q7" t="str">
        <f>IFERROR(INDEX('2.3 Periodos'!$B$2:$B$61,MATCH(D7,'2.3 Periodos'!$A$2:$A$61,0)),"")</f>
        <v/>
      </c>
      <c r="R7" t="str">
        <f>IFERROR(INDEX('1.5 Campus'!$B$2:$B$61,MATCH(E7,'1.5 Campus'!$A$2:$A$61,0)),"")</f>
        <v/>
      </c>
      <c r="S7" t="str">
        <f>IFERROR(INDEX('1.7 Sit Matricula'!$B$2:$B$61,MATCH(F7,'1.7 Sit Matricula'!$A$2:$A$61,0)),"")</f>
        <v/>
      </c>
      <c r="T7" t="str">
        <f t="shared" si="0"/>
        <v/>
      </c>
      <c r="U7" t="str">
        <f t="shared" si="1"/>
        <v/>
      </c>
      <c r="V7" t="str">
        <f t="shared" si="2"/>
        <v/>
      </c>
      <c r="W7" t="str">
        <f>IFERROR(INDEX('1.4 Turnos'!$B$2:$B$61,MATCH(J7,'1.4 Turnos'!$A$2:$A$61,0)),"")</f>
        <v/>
      </c>
      <c r="X7" t="str">
        <f>IFERROR(INDEX('4.1 Grupos Matricula'!$B$2:$B$61,MATCH(K7,'4.1 Grupos Matricula'!$A$2:$A$61,0)),"")</f>
        <v/>
      </c>
      <c r="Y7" t="str">
        <f>IFERROR(INDEX('1.6 Polos'!$B$2:$B$61,MATCH(L7,'1.6 Polos'!$A$2:$A$61,0)),"")</f>
        <v/>
      </c>
    </row>
    <row r="8" spans="1:25" x14ac:dyDescent="0.35">
      <c r="N8" t="str">
        <f>IFERROR(INDEX('3.2 Estudantes'!$D$2:$D$61,MATCH(A8,'3.2 Estudantes'!$A$2:$A$61,0)),"")</f>
        <v/>
      </c>
      <c r="O8" t="str">
        <f>IFERROR(INDEX('2.1 Cursos'!$B$2:$B$61,MATCH(B8,'2.1 Cursos'!$A$2:$A$61,0)),"")</f>
        <v/>
      </c>
      <c r="P8" t="str">
        <f>IFERROR(INDEX('2.4 Curriculos'!$C$2:$C$61,MATCH(C8,'2.4 Curriculos'!$B$2:$B$61,0)),"")</f>
        <v/>
      </c>
      <c r="Q8" t="str">
        <f>IFERROR(INDEX('2.3 Periodos'!$B$2:$B$61,MATCH(D8,'2.3 Periodos'!$A$2:$A$61,0)),"")</f>
        <v/>
      </c>
      <c r="R8" t="str">
        <f>IFERROR(INDEX('1.5 Campus'!$B$2:$B$61,MATCH(E8,'1.5 Campus'!$A$2:$A$61,0)),"")</f>
        <v/>
      </c>
      <c r="S8" t="str">
        <f>IFERROR(INDEX('1.7 Sit Matricula'!$B$2:$B$61,MATCH(F8,'1.7 Sit Matricula'!$A$2:$A$61,0)),"")</f>
        <v/>
      </c>
      <c r="T8" t="str">
        <f t="shared" si="0"/>
        <v/>
      </c>
      <c r="U8" t="str">
        <f t="shared" si="1"/>
        <v/>
      </c>
      <c r="V8" t="str">
        <f t="shared" si="2"/>
        <v/>
      </c>
      <c r="W8" t="str">
        <f>IFERROR(INDEX('1.4 Turnos'!$B$2:$B$61,MATCH(J8,'1.4 Turnos'!$A$2:$A$61,0)),"")</f>
        <v/>
      </c>
      <c r="X8" t="str">
        <f>IFERROR(INDEX('4.1 Grupos Matricula'!$B$2:$B$61,MATCH(K8,'4.1 Grupos Matricula'!$A$2:$A$61,0)),"")</f>
        <v/>
      </c>
      <c r="Y8" t="str">
        <f>IFERROR(INDEX('1.6 Polos'!$B$2:$B$61,MATCH(L8,'1.6 Polos'!$A$2:$A$61,0)),"")</f>
        <v/>
      </c>
    </row>
    <row r="9" spans="1:25" x14ac:dyDescent="0.35">
      <c r="N9" t="str">
        <f>IFERROR(INDEX('3.2 Estudantes'!$D$2:$D$61,MATCH(A9,'3.2 Estudantes'!$A$2:$A$61,0)),"")</f>
        <v/>
      </c>
      <c r="O9" t="str">
        <f>IFERROR(INDEX('2.1 Cursos'!$B$2:$B$61,MATCH(B9,'2.1 Cursos'!$A$2:$A$61,0)),"")</f>
        <v/>
      </c>
      <c r="P9" t="str">
        <f>IFERROR(INDEX('2.4 Curriculos'!$C$2:$C$61,MATCH(C9,'2.4 Curriculos'!$B$2:$B$61,0)),"")</f>
        <v/>
      </c>
      <c r="Q9" t="str">
        <f>IFERROR(INDEX('2.3 Periodos'!$B$2:$B$61,MATCH(D9,'2.3 Periodos'!$A$2:$A$61,0)),"")</f>
        <v/>
      </c>
      <c r="R9" t="str">
        <f>IFERROR(INDEX('1.5 Campus'!$B$2:$B$61,MATCH(E9,'1.5 Campus'!$A$2:$A$61,0)),"")</f>
        <v/>
      </c>
      <c r="S9" t="str">
        <f>IFERROR(INDEX('1.7 Sit Matricula'!$B$2:$B$61,MATCH(F9,'1.7 Sit Matricula'!$A$2:$A$61,0)),"")</f>
        <v/>
      </c>
      <c r="T9" t="str">
        <f t="shared" si="0"/>
        <v/>
      </c>
      <c r="U9" t="str">
        <f t="shared" si="1"/>
        <v/>
      </c>
      <c r="V9" t="str">
        <f t="shared" si="2"/>
        <v/>
      </c>
      <c r="W9" t="str">
        <f>IFERROR(INDEX('1.4 Turnos'!$B$2:$B$61,MATCH(J9,'1.4 Turnos'!$A$2:$A$61,0)),"")</f>
        <v/>
      </c>
      <c r="X9" t="str">
        <f>IFERROR(INDEX('4.1 Grupos Matricula'!$B$2:$B$61,MATCH(K9,'4.1 Grupos Matricula'!$A$2:$A$61,0)),"")</f>
        <v/>
      </c>
      <c r="Y9" t="str">
        <f>IFERROR(INDEX('1.6 Polos'!$B$2:$B$61,MATCH(L9,'1.6 Polos'!$A$2:$A$61,0)),"")</f>
        <v/>
      </c>
    </row>
    <row r="10" spans="1:25" x14ac:dyDescent="0.35">
      <c r="N10" t="str">
        <f>IFERROR(INDEX('3.2 Estudantes'!$D$2:$D$61,MATCH(A10,'3.2 Estudantes'!$A$2:$A$61,0)),"")</f>
        <v/>
      </c>
      <c r="O10" t="str">
        <f>IFERROR(INDEX('2.1 Cursos'!$B$2:$B$61,MATCH(B10,'2.1 Cursos'!$A$2:$A$61,0)),"")</f>
        <v/>
      </c>
      <c r="P10" t="str">
        <f>IFERROR(INDEX('2.4 Curriculos'!$C$2:$C$61,MATCH(C10,'2.4 Curriculos'!$B$2:$B$61,0)),"")</f>
        <v/>
      </c>
      <c r="Q10" t="str">
        <f>IFERROR(INDEX('2.3 Periodos'!$B$2:$B$61,MATCH(D10,'2.3 Periodos'!$A$2:$A$61,0)),"")</f>
        <v/>
      </c>
      <c r="R10" t="str">
        <f>IFERROR(INDEX('1.5 Campus'!$B$2:$B$61,MATCH(E10,'1.5 Campus'!$A$2:$A$61,0)),"")</f>
        <v/>
      </c>
      <c r="S10" t="str">
        <f>IFERROR(INDEX('1.7 Sit Matricula'!$B$2:$B$61,MATCH(F10,'1.7 Sit Matricula'!$A$2:$A$61,0)),"")</f>
        <v/>
      </c>
      <c r="T10" t="str">
        <f t="shared" si="0"/>
        <v/>
      </c>
      <c r="U10" t="str">
        <f t="shared" si="1"/>
        <v/>
      </c>
      <c r="V10" t="str">
        <f t="shared" si="2"/>
        <v/>
      </c>
      <c r="W10" t="str">
        <f>IFERROR(INDEX('1.4 Turnos'!$B$2:$B$61,MATCH(J10,'1.4 Turnos'!$A$2:$A$61,0)),"")</f>
        <v/>
      </c>
      <c r="X10" t="str">
        <f>IFERROR(INDEX('4.1 Grupos Matricula'!$B$2:$B$61,MATCH(K10,'4.1 Grupos Matricula'!$A$2:$A$61,0)),"")</f>
        <v/>
      </c>
      <c r="Y10" t="str">
        <f>IFERROR(INDEX('1.6 Polos'!$B$2:$B$61,MATCH(L10,'1.6 Polos'!$A$2:$A$61,0)),"")</f>
        <v/>
      </c>
    </row>
    <row r="11" spans="1:25" x14ac:dyDescent="0.35">
      <c r="N11" t="str">
        <f>IFERROR(INDEX('3.2 Estudantes'!$D$2:$D$61,MATCH(A11,'3.2 Estudantes'!$A$2:$A$61,0)),"")</f>
        <v/>
      </c>
      <c r="O11" t="str">
        <f>IFERROR(INDEX('2.1 Cursos'!$B$2:$B$61,MATCH(B11,'2.1 Cursos'!$A$2:$A$61,0)),"")</f>
        <v/>
      </c>
      <c r="P11" t="str">
        <f>IFERROR(INDEX('2.4 Curriculos'!$C$2:$C$61,MATCH(C11,'2.4 Curriculos'!$B$2:$B$61,0)),"")</f>
        <v/>
      </c>
      <c r="Q11" t="str">
        <f>IFERROR(INDEX('2.3 Periodos'!$B$2:$B$61,MATCH(D11,'2.3 Periodos'!$A$2:$A$61,0)),"")</f>
        <v/>
      </c>
      <c r="R11" t="str">
        <f>IFERROR(INDEX('1.5 Campus'!$B$2:$B$61,MATCH(E11,'1.5 Campus'!$A$2:$A$61,0)),"")</f>
        <v/>
      </c>
      <c r="S11" t="str">
        <f>IFERROR(INDEX('1.7 Sit Matricula'!$B$2:$B$61,MATCH(F11,'1.7 Sit Matricula'!$A$2:$A$61,0)),"")</f>
        <v/>
      </c>
      <c r="T11" t="str">
        <f t="shared" si="0"/>
        <v/>
      </c>
      <c r="U11" t="str">
        <f t="shared" si="1"/>
        <v/>
      </c>
      <c r="V11" t="str">
        <f t="shared" si="2"/>
        <v/>
      </c>
      <c r="W11" t="str">
        <f>IFERROR(INDEX('1.4 Turnos'!$B$2:$B$61,MATCH(J11,'1.4 Turnos'!$A$2:$A$61,0)),"")</f>
        <v/>
      </c>
      <c r="X11" t="str">
        <f>IFERROR(INDEX('4.1 Grupos Matricula'!$B$2:$B$61,MATCH(K11,'4.1 Grupos Matricula'!$A$2:$A$61,0)),"")</f>
        <v/>
      </c>
      <c r="Y11" t="str">
        <f>IFERROR(INDEX('1.6 Polos'!$B$2:$B$61,MATCH(L11,'1.6 Polos'!$A$2:$A$61,0)),"")</f>
        <v/>
      </c>
    </row>
    <row r="12" spans="1:25" x14ac:dyDescent="0.35">
      <c r="N12" t="str">
        <f>IFERROR(INDEX('3.2 Estudantes'!$D$2:$D$61,MATCH(A12,'3.2 Estudantes'!$A$2:$A$61,0)),"")</f>
        <v/>
      </c>
      <c r="O12" t="str">
        <f>IFERROR(INDEX('2.1 Cursos'!$B$2:$B$61,MATCH(B12,'2.1 Cursos'!$A$2:$A$61,0)),"")</f>
        <v/>
      </c>
      <c r="P12" t="str">
        <f>IFERROR(INDEX('2.4 Curriculos'!$C$2:$C$61,MATCH(C12,'2.4 Curriculos'!$B$2:$B$61,0)),"")</f>
        <v/>
      </c>
      <c r="Q12" t="str">
        <f>IFERROR(INDEX('2.3 Periodos'!$B$2:$B$61,MATCH(D12,'2.3 Periodos'!$A$2:$A$61,0)),"")</f>
        <v/>
      </c>
      <c r="R12" t="str">
        <f>IFERROR(INDEX('1.5 Campus'!$B$2:$B$61,MATCH(E12,'1.5 Campus'!$A$2:$A$61,0)),"")</f>
        <v/>
      </c>
      <c r="S12" t="str">
        <f>IFERROR(INDEX('1.7 Sit Matricula'!$B$2:$B$61,MATCH(F12,'1.7 Sit Matricula'!$A$2:$A$61,0)),"")</f>
        <v/>
      </c>
      <c r="T12" t="str">
        <f t="shared" si="0"/>
        <v/>
      </c>
      <c r="U12" t="str">
        <f t="shared" si="1"/>
        <v/>
      </c>
      <c r="V12" t="str">
        <f t="shared" si="2"/>
        <v/>
      </c>
      <c r="W12" t="str">
        <f>IFERROR(INDEX('1.4 Turnos'!$B$2:$B$61,MATCH(J12,'1.4 Turnos'!$A$2:$A$61,0)),"")</f>
        <v/>
      </c>
      <c r="X12" t="str">
        <f>IFERROR(INDEX('4.1 Grupos Matricula'!$B$2:$B$61,MATCH(K12,'4.1 Grupos Matricula'!$A$2:$A$61,0)),"")</f>
        <v/>
      </c>
      <c r="Y12" t="str">
        <f>IFERROR(INDEX('1.6 Polos'!$B$2:$B$61,MATCH(L12,'1.6 Polos'!$A$2:$A$61,0)),"")</f>
        <v/>
      </c>
    </row>
    <row r="13" spans="1:25" x14ac:dyDescent="0.35">
      <c r="N13" t="str">
        <f>IFERROR(INDEX('3.2 Estudantes'!$D$2:$D$61,MATCH(A13,'3.2 Estudantes'!$A$2:$A$61,0)),"")</f>
        <v/>
      </c>
      <c r="O13" t="str">
        <f>IFERROR(INDEX('2.1 Cursos'!$B$2:$B$61,MATCH(B13,'2.1 Cursos'!$A$2:$A$61,0)),"")</f>
        <v/>
      </c>
      <c r="P13" t="str">
        <f>IFERROR(INDEX('2.4 Curriculos'!$C$2:$C$61,MATCH(C13,'2.4 Curriculos'!$B$2:$B$61,0)),"")</f>
        <v/>
      </c>
      <c r="Q13" t="str">
        <f>IFERROR(INDEX('2.3 Periodos'!$B$2:$B$61,MATCH(D13,'2.3 Periodos'!$A$2:$A$61,0)),"")</f>
        <v/>
      </c>
      <c r="R13" t="str">
        <f>IFERROR(INDEX('1.5 Campus'!$B$2:$B$61,MATCH(E13,'1.5 Campus'!$A$2:$A$61,0)),"")</f>
        <v/>
      </c>
      <c r="S13" t="str">
        <f>IFERROR(INDEX('1.7 Sit Matricula'!$B$2:$B$61,MATCH(F13,'1.7 Sit Matricula'!$A$2:$A$61,0)),"")</f>
        <v/>
      </c>
      <c r="T13" t="str">
        <f t="shared" si="0"/>
        <v/>
      </c>
      <c r="U13" t="str">
        <f t="shared" si="1"/>
        <v/>
      </c>
      <c r="V13" t="str">
        <f t="shared" si="2"/>
        <v/>
      </c>
      <c r="W13" t="str">
        <f>IFERROR(INDEX('1.4 Turnos'!$B$2:$B$61,MATCH(J13,'1.4 Turnos'!$A$2:$A$61,0)),"")</f>
        <v/>
      </c>
      <c r="X13" t="str">
        <f>IFERROR(INDEX('4.1 Grupos Matricula'!$B$2:$B$61,MATCH(K13,'4.1 Grupos Matricula'!$A$2:$A$61,0)),"")</f>
        <v/>
      </c>
      <c r="Y13" t="str">
        <f>IFERROR(INDEX('1.6 Polos'!$B$2:$B$61,MATCH(L13,'1.6 Polos'!$A$2:$A$61,0)),"")</f>
        <v/>
      </c>
    </row>
    <row r="14" spans="1:25" x14ac:dyDescent="0.35">
      <c r="N14" t="str">
        <f>IFERROR(INDEX('3.2 Estudantes'!$D$2:$D$61,MATCH(A14,'3.2 Estudantes'!$A$2:$A$61,0)),"")</f>
        <v/>
      </c>
      <c r="O14" t="str">
        <f>IFERROR(INDEX('2.1 Cursos'!$B$2:$B$61,MATCH(B14,'2.1 Cursos'!$A$2:$A$61,0)),"")</f>
        <v/>
      </c>
      <c r="P14" t="str">
        <f>IFERROR(INDEX('2.4 Curriculos'!$C$2:$C$61,MATCH(C14,'2.4 Curriculos'!$B$2:$B$61,0)),"")</f>
        <v/>
      </c>
      <c r="Q14" t="str">
        <f>IFERROR(INDEX('2.3 Periodos'!$B$2:$B$61,MATCH(D14,'2.3 Periodos'!$A$2:$A$61,0)),"")</f>
        <v/>
      </c>
      <c r="R14" t="str">
        <f>IFERROR(INDEX('1.5 Campus'!$B$2:$B$61,MATCH(E14,'1.5 Campus'!$A$2:$A$61,0)),"")</f>
        <v/>
      </c>
      <c r="S14" t="str">
        <f>IFERROR(INDEX('1.7 Sit Matricula'!$B$2:$B$61,MATCH(F14,'1.7 Sit Matricula'!$A$2:$A$61,0)),"")</f>
        <v/>
      </c>
      <c r="T14" t="str">
        <f t="shared" si="0"/>
        <v/>
      </c>
      <c r="U14" t="str">
        <f t="shared" si="1"/>
        <v/>
      </c>
      <c r="V14" t="str">
        <f t="shared" si="2"/>
        <v/>
      </c>
      <c r="W14" t="str">
        <f>IFERROR(INDEX('1.4 Turnos'!$B$2:$B$61,MATCH(J14,'1.4 Turnos'!$A$2:$A$61,0)),"")</f>
        <v/>
      </c>
      <c r="X14" t="str">
        <f>IFERROR(INDEX('4.1 Grupos Matricula'!$B$2:$B$61,MATCH(K14,'4.1 Grupos Matricula'!$A$2:$A$61,0)),"")</f>
        <v/>
      </c>
      <c r="Y14" t="str">
        <f>IFERROR(INDEX('1.6 Polos'!$B$2:$B$61,MATCH(L14,'1.6 Polos'!$A$2:$A$61,0)),"")</f>
        <v/>
      </c>
    </row>
    <row r="15" spans="1:25" x14ac:dyDescent="0.35">
      <c r="N15" t="str">
        <f>IFERROR(INDEX('3.2 Estudantes'!$D$2:$D$61,MATCH(A15,'3.2 Estudantes'!$A$2:$A$61,0)),"")</f>
        <v/>
      </c>
      <c r="O15" t="str">
        <f>IFERROR(INDEX('2.1 Cursos'!$B$2:$B$61,MATCH(B15,'2.1 Cursos'!$A$2:$A$61,0)),"")</f>
        <v/>
      </c>
      <c r="P15" t="str">
        <f>IFERROR(INDEX('2.4 Curriculos'!$C$2:$C$61,MATCH(C15,'2.4 Curriculos'!$B$2:$B$61,0)),"")</f>
        <v/>
      </c>
      <c r="Q15" t="str">
        <f>IFERROR(INDEX('2.3 Periodos'!$B$2:$B$61,MATCH(D15,'2.3 Periodos'!$A$2:$A$61,0)),"")</f>
        <v/>
      </c>
      <c r="R15" t="str">
        <f>IFERROR(INDEX('1.5 Campus'!$B$2:$B$61,MATCH(E15,'1.5 Campus'!$A$2:$A$61,0)),"")</f>
        <v/>
      </c>
      <c r="S15" t="str">
        <f>IFERROR(INDEX('1.7 Sit Matricula'!$B$2:$B$61,MATCH(F15,'1.7 Sit Matricula'!$A$2:$A$61,0)),"")</f>
        <v/>
      </c>
      <c r="T15" t="str">
        <f t="shared" si="0"/>
        <v/>
      </c>
      <c r="U15" t="str">
        <f t="shared" si="1"/>
        <v/>
      </c>
      <c r="V15" t="str">
        <f t="shared" si="2"/>
        <v/>
      </c>
      <c r="W15" t="str">
        <f>IFERROR(INDEX('1.4 Turnos'!$B$2:$B$61,MATCH(J15,'1.4 Turnos'!$A$2:$A$61,0)),"")</f>
        <v/>
      </c>
      <c r="X15" t="str">
        <f>IFERROR(INDEX('4.1 Grupos Matricula'!$B$2:$B$61,MATCH(K15,'4.1 Grupos Matricula'!$A$2:$A$61,0)),"")</f>
        <v/>
      </c>
      <c r="Y15" t="str">
        <f>IFERROR(INDEX('1.6 Polos'!$B$2:$B$61,MATCH(L15,'1.6 Polos'!$A$2:$A$61,0)),"")</f>
        <v/>
      </c>
    </row>
    <row r="16" spans="1:25" x14ac:dyDescent="0.35">
      <c r="N16" t="str">
        <f>IFERROR(INDEX('3.2 Estudantes'!$D$2:$D$61,MATCH(A16,'3.2 Estudantes'!$A$2:$A$61,0)),"")</f>
        <v/>
      </c>
      <c r="O16" t="str">
        <f>IFERROR(INDEX('2.1 Cursos'!$B$2:$B$61,MATCH(B16,'2.1 Cursos'!$A$2:$A$61,0)),"")</f>
        <v/>
      </c>
      <c r="P16" t="str">
        <f>IFERROR(INDEX('2.4 Curriculos'!$C$2:$C$61,MATCH(C16,'2.4 Curriculos'!$B$2:$B$61,0)),"")</f>
        <v/>
      </c>
      <c r="Q16" t="str">
        <f>IFERROR(INDEX('2.3 Periodos'!$B$2:$B$61,MATCH(D16,'2.3 Periodos'!$A$2:$A$61,0)),"")</f>
        <v/>
      </c>
      <c r="R16" t="str">
        <f>IFERROR(INDEX('1.5 Campus'!$B$2:$B$61,MATCH(E16,'1.5 Campus'!$A$2:$A$61,0)),"")</f>
        <v/>
      </c>
      <c r="S16" t="str">
        <f>IFERROR(INDEX('1.7 Sit Matricula'!$B$2:$B$61,MATCH(F16,'1.7 Sit Matricula'!$A$2:$A$61,0)),"")</f>
        <v/>
      </c>
      <c r="T16" t="str">
        <f t="shared" si="0"/>
        <v/>
      </c>
      <c r="U16" t="str">
        <f t="shared" si="1"/>
        <v/>
      </c>
      <c r="V16" t="str">
        <f t="shared" si="2"/>
        <v/>
      </c>
      <c r="W16" t="str">
        <f>IFERROR(INDEX('1.4 Turnos'!$B$2:$B$61,MATCH(J16,'1.4 Turnos'!$A$2:$A$61,0)),"")</f>
        <v/>
      </c>
      <c r="X16" t="str">
        <f>IFERROR(INDEX('4.1 Grupos Matricula'!$B$2:$B$61,MATCH(K16,'4.1 Grupos Matricula'!$A$2:$A$61,0)),"")</f>
        <v/>
      </c>
      <c r="Y16" t="str">
        <f>IFERROR(INDEX('1.6 Polos'!$B$2:$B$61,MATCH(L16,'1.6 Polos'!$A$2:$A$61,0)),"")</f>
        <v/>
      </c>
    </row>
    <row r="17" spans="14:25" x14ac:dyDescent="0.35">
      <c r="N17" t="str">
        <f>IFERROR(INDEX('3.2 Estudantes'!$D$2:$D$61,MATCH(A17,'3.2 Estudantes'!$A$2:$A$61,0)),"")</f>
        <v/>
      </c>
      <c r="O17" t="str">
        <f>IFERROR(INDEX('2.1 Cursos'!$B$2:$B$61,MATCH(B17,'2.1 Cursos'!$A$2:$A$61,0)),"")</f>
        <v/>
      </c>
      <c r="P17" t="str">
        <f>IFERROR(INDEX('2.4 Curriculos'!$C$2:$C$61,MATCH(C17,'2.4 Curriculos'!$B$2:$B$61,0)),"")</f>
        <v/>
      </c>
      <c r="Q17" t="str">
        <f>IFERROR(INDEX('2.3 Periodos'!$B$2:$B$61,MATCH(D17,'2.3 Periodos'!$A$2:$A$61,0)),"")</f>
        <v/>
      </c>
      <c r="R17" t="str">
        <f>IFERROR(INDEX('1.5 Campus'!$B$2:$B$61,MATCH(E17,'1.5 Campus'!$A$2:$A$61,0)),"")</f>
        <v/>
      </c>
      <c r="S17" t="str">
        <f>IFERROR(INDEX('1.7 Sit Matricula'!$B$2:$B$61,MATCH(F17,'1.7 Sit Matricula'!$A$2:$A$61,0)),"")</f>
        <v/>
      </c>
      <c r="T17" t="str">
        <f t="shared" si="0"/>
        <v/>
      </c>
      <c r="U17" t="str">
        <f t="shared" si="1"/>
        <v/>
      </c>
      <c r="V17" t="str">
        <f t="shared" si="2"/>
        <v/>
      </c>
      <c r="W17" t="str">
        <f>IFERROR(INDEX('1.4 Turnos'!$B$2:$B$61,MATCH(J17,'1.4 Turnos'!$A$2:$A$61,0)),"")</f>
        <v/>
      </c>
      <c r="X17" t="str">
        <f>IFERROR(INDEX('4.1 Grupos Matricula'!$B$2:$B$61,MATCH(K17,'4.1 Grupos Matricula'!$A$2:$A$61,0)),"")</f>
        <v/>
      </c>
      <c r="Y17" t="str">
        <f>IFERROR(INDEX('1.6 Polos'!$B$2:$B$61,MATCH(L17,'1.6 Polos'!$A$2:$A$61,0)),"")</f>
        <v/>
      </c>
    </row>
    <row r="18" spans="14:25" x14ac:dyDescent="0.35">
      <c r="N18" t="str">
        <f>IFERROR(INDEX('3.2 Estudantes'!$D$2:$D$61,MATCH(A18,'3.2 Estudantes'!$A$2:$A$61,0)),"")</f>
        <v/>
      </c>
      <c r="O18" t="str">
        <f>IFERROR(INDEX('2.1 Cursos'!$B$2:$B$61,MATCH(B18,'2.1 Cursos'!$A$2:$A$61,0)),"")</f>
        <v/>
      </c>
      <c r="P18" t="str">
        <f>IFERROR(INDEX('2.4 Curriculos'!$C$2:$C$61,MATCH(C18,'2.4 Curriculos'!$B$2:$B$61,0)),"")</f>
        <v/>
      </c>
      <c r="Q18" t="str">
        <f>IFERROR(INDEX('2.3 Periodos'!$B$2:$B$61,MATCH(D18,'2.3 Periodos'!$A$2:$A$61,0)),"")</f>
        <v/>
      </c>
      <c r="R18" t="str">
        <f>IFERROR(INDEX('1.5 Campus'!$B$2:$B$61,MATCH(E18,'1.5 Campus'!$A$2:$A$61,0)),"")</f>
        <v/>
      </c>
      <c r="S18" t="str">
        <f>IFERROR(INDEX('1.7 Sit Matricula'!$B$2:$B$61,MATCH(F18,'1.7 Sit Matricula'!$A$2:$A$61,0)),"")</f>
        <v/>
      </c>
      <c r="T18" t="str">
        <f t="shared" si="0"/>
        <v/>
      </c>
      <c r="U18" t="str">
        <f t="shared" si="1"/>
        <v/>
      </c>
      <c r="V18" t="str">
        <f t="shared" si="2"/>
        <v/>
      </c>
      <c r="W18" t="str">
        <f>IFERROR(INDEX('1.4 Turnos'!$B$2:$B$61,MATCH(J18,'1.4 Turnos'!$A$2:$A$61,0)),"")</f>
        <v/>
      </c>
      <c r="X18" t="str">
        <f>IFERROR(INDEX('4.1 Grupos Matricula'!$B$2:$B$61,MATCH(K18,'4.1 Grupos Matricula'!$A$2:$A$61,0)),"")</f>
        <v/>
      </c>
      <c r="Y18" t="str">
        <f>IFERROR(INDEX('1.6 Polos'!$B$2:$B$61,MATCH(L18,'1.6 Polos'!$A$2:$A$61,0)),"")</f>
        <v/>
      </c>
    </row>
    <row r="19" spans="14:25" x14ac:dyDescent="0.35">
      <c r="N19" t="str">
        <f>IFERROR(INDEX('3.2 Estudantes'!$D$2:$D$61,MATCH(A19,'3.2 Estudantes'!$A$2:$A$61,0)),"")</f>
        <v/>
      </c>
      <c r="O19" t="str">
        <f>IFERROR(INDEX('2.1 Cursos'!$B$2:$B$61,MATCH(B19,'2.1 Cursos'!$A$2:$A$61,0)),"")</f>
        <v/>
      </c>
      <c r="P19" t="str">
        <f>IFERROR(INDEX('2.4 Curriculos'!$C$2:$C$61,MATCH(C19,'2.4 Curriculos'!$B$2:$B$61,0)),"")</f>
        <v/>
      </c>
      <c r="Q19" t="str">
        <f>IFERROR(INDEX('2.3 Periodos'!$B$2:$B$61,MATCH(D19,'2.3 Periodos'!$A$2:$A$61,0)),"")</f>
        <v/>
      </c>
      <c r="R19" t="str">
        <f>IFERROR(INDEX('1.5 Campus'!$B$2:$B$61,MATCH(E19,'1.5 Campus'!$A$2:$A$61,0)),"")</f>
        <v/>
      </c>
      <c r="S19" t="str">
        <f>IFERROR(INDEX('1.7 Sit Matricula'!$B$2:$B$61,MATCH(F19,'1.7 Sit Matricula'!$A$2:$A$61,0)),"")</f>
        <v/>
      </c>
      <c r="T19" t="str">
        <f t="shared" si="0"/>
        <v/>
      </c>
      <c r="U19" t="str">
        <f t="shared" si="1"/>
        <v/>
      </c>
      <c r="V19" t="str">
        <f t="shared" si="2"/>
        <v/>
      </c>
      <c r="W19" t="str">
        <f>IFERROR(INDEX('1.4 Turnos'!$B$2:$B$61,MATCH(J19,'1.4 Turnos'!$A$2:$A$61,0)),"")</f>
        <v/>
      </c>
      <c r="X19" t="str">
        <f>IFERROR(INDEX('4.1 Grupos Matricula'!$B$2:$B$61,MATCH(K19,'4.1 Grupos Matricula'!$A$2:$A$61,0)),"")</f>
        <v/>
      </c>
      <c r="Y19" t="str">
        <f>IFERROR(INDEX('1.6 Polos'!$B$2:$B$61,MATCH(L19,'1.6 Polos'!$A$2:$A$61,0)),"")</f>
        <v/>
      </c>
    </row>
    <row r="20" spans="14:25" x14ac:dyDescent="0.35">
      <c r="N20" t="str">
        <f>IFERROR(INDEX('3.2 Estudantes'!$D$2:$D$61,MATCH(A20,'3.2 Estudantes'!$A$2:$A$61,0)),"")</f>
        <v/>
      </c>
      <c r="O20" t="str">
        <f>IFERROR(INDEX('2.1 Cursos'!$B$2:$B$61,MATCH(B20,'2.1 Cursos'!$A$2:$A$61,0)),"")</f>
        <v/>
      </c>
      <c r="P20" t="str">
        <f>IFERROR(INDEX('2.4 Curriculos'!$C$2:$C$61,MATCH(C20,'2.4 Curriculos'!$B$2:$B$61,0)),"")</f>
        <v/>
      </c>
      <c r="Q20" t="str">
        <f>IFERROR(INDEX('2.3 Periodos'!$B$2:$B$61,MATCH(D20,'2.3 Periodos'!$A$2:$A$61,0)),"")</f>
        <v/>
      </c>
      <c r="R20" t="str">
        <f>IFERROR(INDEX('1.5 Campus'!$B$2:$B$61,MATCH(E20,'1.5 Campus'!$A$2:$A$61,0)),"")</f>
        <v/>
      </c>
      <c r="S20" t="str">
        <f>IFERROR(INDEX('1.7 Sit Matricula'!$B$2:$B$61,MATCH(F20,'1.7 Sit Matricula'!$A$2:$A$61,0)),"")</f>
        <v/>
      </c>
      <c r="T20" t="str">
        <f t="shared" si="0"/>
        <v/>
      </c>
      <c r="U20" t="str">
        <f t="shared" si="1"/>
        <v/>
      </c>
      <c r="V20" t="str">
        <f t="shared" si="2"/>
        <v/>
      </c>
      <c r="W20" t="str">
        <f>IFERROR(INDEX('1.4 Turnos'!$B$2:$B$61,MATCH(J20,'1.4 Turnos'!$A$2:$A$61,0)),"")</f>
        <v/>
      </c>
      <c r="X20" t="str">
        <f>IFERROR(INDEX('4.1 Grupos Matricula'!$B$2:$B$61,MATCH(K20,'4.1 Grupos Matricula'!$A$2:$A$61,0)),"")</f>
        <v/>
      </c>
      <c r="Y20" t="str">
        <f>IFERROR(INDEX('1.6 Polos'!$B$2:$B$61,MATCH(L20,'1.6 Polos'!$A$2:$A$61,0)),"")</f>
        <v/>
      </c>
    </row>
    <row r="21" spans="14:25" x14ac:dyDescent="0.35">
      <c r="N21" t="str">
        <f>IFERROR(INDEX('3.2 Estudantes'!$D$2:$D$61,MATCH(A21,'3.2 Estudantes'!$A$2:$A$61,0)),"")</f>
        <v/>
      </c>
      <c r="O21" t="str">
        <f>IFERROR(INDEX('2.1 Cursos'!$B$2:$B$61,MATCH(B21,'2.1 Cursos'!$A$2:$A$61,0)),"")</f>
        <v/>
      </c>
      <c r="P21" t="str">
        <f>IFERROR(INDEX('2.4 Curriculos'!$C$2:$C$61,MATCH(C21,'2.4 Curriculos'!$B$2:$B$61,0)),"")</f>
        <v/>
      </c>
      <c r="Q21" t="str">
        <f>IFERROR(INDEX('2.3 Periodos'!$B$2:$B$61,MATCH(D21,'2.3 Periodos'!$A$2:$A$61,0)),"")</f>
        <v/>
      </c>
      <c r="R21" t="str">
        <f>IFERROR(INDEX('1.5 Campus'!$B$2:$B$61,MATCH(E21,'1.5 Campus'!$A$2:$A$61,0)),"")</f>
        <v/>
      </c>
      <c r="S21" t="str">
        <f>IFERROR(INDEX('1.7 Sit Matricula'!$B$2:$B$61,MATCH(F21,'1.7 Sit Matricula'!$A$2:$A$61,0)),"")</f>
        <v/>
      </c>
      <c r="T21" t="str">
        <f t="shared" si="0"/>
        <v/>
      </c>
      <c r="U21" t="str">
        <f t="shared" si="1"/>
        <v/>
      </c>
      <c r="V21" t="str">
        <f t="shared" si="2"/>
        <v/>
      </c>
      <c r="W21" t="str">
        <f>IFERROR(INDEX('1.4 Turnos'!$B$2:$B$61,MATCH(J21,'1.4 Turnos'!$A$2:$A$61,0)),"")</f>
        <v/>
      </c>
      <c r="X21" t="str">
        <f>IFERROR(INDEX('4.1 Grupos Matricula'!$B$2:$B$61,MATCH(K21,'4.1 Grupos Matricula'!$A$2:$A$61,0)),"")</f>
        <v/>
      </c>
      <c r="Y21" t="str">
        <f>IFERROR(INDEX('1.6 Polos'!$B$2:$B$61,MATCH(L21,'1.6 Polos'!$A$2:$A$61,0)),"")</f>
        <v/>
      </c>
    </row>
    <row r="22" spans="14:25" x14ac:dyDescent="0.35">
      <c r="N22" t="str">
        <f>IFERROR(INDEX('3.2 Estudantes'!$D$2:$D$61,MATCH(A22,'3.2 Estudantes'!$A$2:$A$61,0)),"")</f>
        <v/>
      </c>
      <c r="O22" t="str">
        <f>IFERROR(INDEX('2.1 Cursos'!$B$2:$B$61,MATCH(B22,'2.1 Cursos'!$A$2:$A$61,0)),"")</f>
        <v/>
      </c>
      <c r="P22" t="str">
        <f>IFERROR(INDEX('2.4 Curriculos'!$C$2:$C$61,MATCH(C22,'2.4 Curriculos'!$B$2:$B$61,0)),"")</f>
        <v/>
      </c>
      <c r="Q22" t="str">
        <f>IFERROR(INDEX('2.3 Periodos'!$B$2:$B$61,MATCH(D22,'2.3 Periodos'!$A$2:$A$61,0)),"")</f>
        <v/>
      </c>
      <c r="R22" t="str">
        <f>IFERROR(INDEX('1.5 Campus'!$B$2:$B$61,MATCH(E22,'1.5 Campus'!$A$2:$A$61,0)),"")</f>
        <v/>
      </c>
      <c r="S22" t="str">
        <f>IFERROR(INDEX('1.7 Sit Matricula'!$B$2:$B$61,MATCH(F22,'1.7 Sit Matricula'!$A$2:$A$61,0)),"")</f>
        <v/>
      </c>
      <c r="T22" t="str">
        <f t="shared" si="0"/>
        <v/>
      </c>
      <c r="U22" t="str">
        <f t="shared" si="1"/>
        <v/>
      </c>
      <c r="V22" t="str">
        <f t="shared" si="2"/>
        <v/>
      </c>
      <c r="W22" t="str">
        <f>IFERROR(INDEX('1.4 Turnos'!$B$2:$B$61,MATCH(J22,'1.4 Turnos'!$A$2:$A$61,0)),"")</f>
        <v/>
      </c>
      <c r="X22" t="str">
        <f>IFERROR(INDEX('4.1 Grupos Matricula'!$B$2:$B$61,MATCH(K22,'4.1 Grupos Matricula'!$A$2:$A$61,0)),"")</f>
        <v/>
      </c>
      <c r="Y22" t="str">
        <f>IFERROR(INDEX('1.6 Polos'!$B$2:$B$61,MATCH(L22,'1.6 Polos'!$A$2:$A$61,0)),"")</f>
        <v/>
      </c>
    </row>
    <row r="23" spans="14:25" x14ac:dyDescent="0.35">
      <c r="N23" t="str">
        <f>IFERROR(INDEX('3.2 Estudantes'!$D$2:$D$61,MATCH(A23,'3.2 Estudantes'!$A$2:$A$61,0)),"")</f>
        <v/>
      </c>
      <c r="O23" t="str">
        <f>IFERROR(INDEX('2.1 Cursos'!$B$2:$B$61,MATCH(B23,'2.1 Cursos'!$A$2:$A$61,0)),"")</f>
        <v/>
      </c>
      <c r="P23" t="str">
        <f>IFERROR(INDEX('2.4 Curriculos'!$C$2:$C$61,MATCH(C23,'2.4 Curriculos'!$B$2:$B$61,0)),"")</f>
        <v/>
      </c>
      <c r="Q23" t="str">
        <f>IFERROR(INDEX('2.3 Periodos'!$B$2:$B$61,MATCH(D23,'2.3 Periodos'!$A$2:$A$61,0)),"")</f>
        <v/>
      </c>
      <c r="R23" t="str">
        <f>IFERROR(INDEX('1.5 Campus'!$B$2:$B$61,MATCH(E23,'1.5 Campus'!$A$2:$A$61,0)),"")</f>
        <v/>
      </c>
      <c r="S23" t="str">
        <f>IFERROR(INDEX('1.7 Sit Matricula'!$B$2:$B$61,MATCH(F23,'1.7 Sit Matricula'!$A$2:$A$61,0)),"")</f>
        <v/>
      </c>
      <c r="T23" t="str">
        <f t="shared" si="0"/>
        <v/>
      </c>
      <c r="U23" t="str">
        <f t="shared" si="1"/>
        <v/>
      </c>
      <c r="V23" t="str">
        <f t="shared" si="2"/>
        <v/>
      </c>
      <c r="W23" t="str">
        <f>IFERROR(INDEX('1.4 Turnos'!$B$2:$B$61,MATCH(J23,'1.4 Turnos'!$A$2:$A$61,0)),"")</f>
        <v/>
      </c>
      <c r="X23" t="str">
        <f>IFERROR(INDEX('4.1 Grupos Matricula'!$B$2:$B$61,MATCH(K23,'4.1 Grupos Matricula'!$A$2:$A$61,0)),"")</f>
        <v/>
      </c>
      <c r="Y23" t="str">
        <f>IFERROR(INDEX('1.6 Polos'!$B$2:$B$61,MATCH(L23,'1.6 Polos'!$A$2:$A$61,0)),"")</f>
        <v/>
      </c>
    </row>
    <row r="24" spans="14:25" x14ac:dyDescent="0.35">
      <c r="N24" t="str">
        <f>IFERROR(INDEX('3.2 Estudantes'!$D$2:$D$61,MATCH(A24,'3.2 Estudantes'!$A$2:$A$61,0)),"")</f>
        <v/>
      </c>
      <c r="O24" t="str">
        <f>IFERROR(INDEX('2.1 Cursos'!$B$2:$B$61,MATCH(B24,'2.1 Cursos'!$A$2:$A$61,0)),"")</f>
        <v/>
      </c>
      <c r="P24" t="str">
        <f>IFERROR(INDEX('2.4 Curriculos'!$C$2:$C$61,MATCH(C24,'2.4 Curriculos'!$B$2:$B$61,0)),"")</f>
        <v/>
      </c>
      <c r="Q24" t="str">
        <f>IFERROR(INDEX('2.3 Periodos'!$B$2:$B$61,MATCH(D24,'2.3 Periodos'!$A$2:$A$61,0)),"")</f>
        <v/>
      </c>
      <c r="R24" t="str">
        <f>IFERROR(INDEX('1.5 Campus'!$B$2:$B$61,MATCH(E24,'1.5 Campus'!$A$2:$A$61,0)),"")</f>
        <v/>
      </c>
      <c r="S24" t="str">
        <f>IFERROR(INDEX('1.7 Sit Matricula'!$B$2:$B$61,MATCH(F24,'1.7 Sit Matricula'!$A$2:$A$61,0)),"")</f>
        <v/>
      </c>
      <c r="T24" t="str">
        <f t="shared" si="0"/>
        <v/>
      </c>
      <c r="U24" t="str">
        <f t="shared" si="1"/>
        <v/>
      </c>
      <c r="V24" t="str">
        <f t="shared" si="2"/>
        <v/>
      </c>
      <c r="W24" t="str">
        <f>IFERROR(INDEX('1.4 Turnos'!$B$2:$B$61,MATCH(J24,'1.4 Turnos'!$A$2:$A$61,0)),"")</f>
        <v/>
      </c>
      <c r="X24" t="str">
        <f>IFERROR(INDEX('4.1 Grupos Matricula'!$B$2:$B$61,MATCH(K24,'4.1 Grupos Matricula'!$A$2:$A$61,0)),"")</f>
        <v/>
      </c>
      <c r="Y24" t="str">
        <f>IFERROR(INDEX('1.6 Polos'!$B$2:$B$61,MATCH(L24,'1.6 Polos'!$A$2:$A$61,0)),"")</f>
        <v/>
      </c>
    </row>
    <row r="25" spans="14:25" x14ac:dyDescent="0.35">
      <c r="N25" t="str">
        <f>IFERROR(INDEX('3.2 Estudantes'!$D$2:$D$61,MATCH(A25,'3.2 Estudantes'!$A$2:$A$61,0)),"")</f>
        <v/>
      </c>
      <c r="O25" t="str">
        <f>IFERROR(INDEX('2.1 Cursos'!$B$2:$B$61,MATCH(B25,'2.1 Cursos'!$A$2:$A$61,0)),"")</f>
        <v/>
      </c>
      <c r="P25" t="str">
        <f>IFERROR(INDEX('2.4 Curriculos'!$C$2:$C$61,MATCH(C25,'2.4 Curriculos'!$B$2:$B$61,0)),"")</f>
        <v/>
      </c>
      <c r="Q25" t="str">
        <f>IFERROR(INDEX('2.3 Periodos'!$B$2:$B$61,MATCH(D25,'2.3 Periodos'!$A$2:$A$61,0)),"")</f>
        <v/>
      </c>
      <c r="R25" t="str">
        <f>IFERROR(INDEX('1.5 Campus'!$B$2:$B$61,MATCH(E25,'1.5 Campus'!$A$2:$A$61,0)),"")</f>
        <v/>
      </c>
      <c r="S25" t="str">
        <f>IFERROR(INDEX('1.7 Sit Matricula'!$B$2:$B$61,MATCH(F25,'1.7 Sit Matricula'!$A$2:$A$61,0)),"")</f>
        <v/>
      </c>
      <c r="T25" t="str">
        <f t="shared" si="0"/>
        <v/>
      </c>
      <c r="U25" t="str">
        <f t="shared" si="1"/>
        <v/>
      </c>
      <c r="V25" t="str">
        <f t="shared" si="2"/>
        <v/>
      </c>
      <c r="W25" t="str">
        <f>IFERROR(INDEX('1.4 Turnos'!$B$2:$B$61,MATCH(J25,'1.4 Turnos'!$A$2:$A$61,0)),"")</f>
        <v/>
      </c>
      <c r="X25" t="str">
        <f>IFERROR(INDEX('4.1 Grupos Matricula'!$B$2:$B$61,MATCH(K25,'4.1 Grupos Matricula'!$A$2:$A$61,0)),"")</f>
        <v/>
      </c>
      <c r="Y25" t="str">
        <f>IFERROR(INDEX('1.6 Polos'!$B$2:$B$61,MATCH(L25,'1.6 Polos'!$A$2:$A$61,0)),"")</f>
        <v/>
      </c>
    </row>
    <row r="26" spans="14:25" x14ac:dyDescent="0.35">
      <c r="N26" t="str">
        <f>IFERROR(INDEX('3.2 Estudantes'!$D$2:$D$61,MATCH(A26,'3.2 Estudantes'!$A$2:$A$61,0)),"")</f>
        <v/>
      </c>
      <c r="O26" t="str">
        <f>IFERROR(INDEX('2.1 Cursos'!$B$2:$B$61,MATCH(B26,'2.1 Cursos'!$A$2:$A$61,0)),"")</f>
        <v/>
      </c>
      <c r="P26" t="str">
        <f>IFERROR(INDEX('2.4 Curriculos'!$C$2:$C$61,MATCH(C26,'2.4 Curriculos'!$B$2:$B$61,0)),"")</f>
        <v/>
      </c>
      <c r="Q26" t="str">
        <f>IFERROR(INDEX('2.3 Periodos'!$B$2:$B$61,MATCH(D26,'2.3 Periodos'!$A$2:$A$61,0)),"")</f>
        <v/>
      </c>
      <c r="R26" t="str">
        <f>IFERROR(INDEX('1.5 Campus'!$B$2:$B$61,MATCH(E26,'1.5 Campus'!$A$2:$A$61,0)),"")</f>
        <v/>
      </c>
      <c r="S26" t="str">
        <f>IFERROR(INDEX('1.7 Sit Matricula'!$B$2:$B$61,MATCH(F26,'1.7 Sit Matricula'!$A$2:$A$61,0)),"")</f>
        <v/>
      </c>
      <c r="T26" t="str">
        <f t="shared" si="0"/>
        <v/>
      </c>
      <c r="U26" t="str">
        <f t="shared" si="1"/>
        <v/>
      </c>
      <c r="V26" t="str">
        <f t="shared" si="2"/>
        <v/>
      </c>
      <c r="W26" t="str">
        <f>IFERROR(INDEX('1.4 Turnos'!$B$2:$B$61,MATCH(J26,'1.4 Turnos'!$A$2:$A$61,0)),"")</f>
        <v/>
      </c>
      <c r="X26" t="str">
        <f>IFERROR(INDEX('4.1 Grupos Matricula'!$B$2:$B$61,MATCH(K26,'4.1 Grupos Matricula'!$A$2:$A$61,0)),"")</f>
        <v/>
      </c>
      <c r="Y26" t="str">
        <f>IFERROR(INDEX('1.6 Polos'!$B$2:$B$61,MATCH(L26,'1.6 Polos'!$A$2:$A$61,0)),"")</f>
        <v/>
      </c>
    </row>
    <row r="27" spans="14:25" x14ac:dyDescent="0.35">
      <c r="N27" t="str">
        <f>IFERROR(INDEX('3.2 Estudantes'!$D$2:$D$61,MATCH(A27,'3.2 Estudantes'!$A$2:$A$61,0)),"")</f>
        <v/>
      </c>
      <c r="O27" t="str">
        <f>IFERROR(INDEX('2.1 Cursos'!$B$2:$B$61,MATCH(B27,'2.1 Cursos'!$A$2:$A$61,0)),"")</f>
        <v/>
      </c>
      <c r="P27" t="str">
        <f>IFERROR(INDEX('2.4 Curriculos'!$C$2:$C$61,MATCH(C27,'2.4 Curriculos'!$B$2:$B$61,0)),"")</f>
        <v/>
      </c>
      <c r="Q27" t="str">
        <f>IFERROR(INDEX('2.3 Periodos'!$B$2:$B$61,MATCH(D27,'2.3 Periodos'!$A$2:$A$61,0)),"")</f>
        <v/>
      </c>
      <c r="R27" t="str">
        <f>IFERROR(INDEX('1.5 Campus'!$B$2:$B$61,MATCH(E27,'1.5 Campus'!$A$2:$A$61,0)),"")</f>
        <v/>
      </c>
      <c r="S27" t="str">
        <f>IFERROR(INDEX('1.7 Sit Matricula'!$B$2:$B$61,MATCH(F27,'1.7 Sit Matricula'!$A$2:$A$61,0)),"")</f>
        <v/>
      </c>
      <c r="T27" t="str">
        <f t="shared" si="0"/>
        <v/>
      </c>
      <c r="U27" t="str">
        <f t="shared" si="1"/>
        <v/>
      </c>
      <c r="V27" t="str">
        <f t="shared" si="2"/>
        <v/>
      </c>
      <c r="W27" t="str">
        <f>IFERROR(INDEX('1.4 Turnos'!$B$2:$B$61,MATCH(J27,'1.4 Turnos'!$A$2:$A$61,0)),"")</f>
        <v/>
      </c>
      <c r="X27" t="str">
        <f>IFERROR(INDEX('4.1 Grupos Matricula'!$B$2:$B$61,MATCH(K27,'4.1 Grupos Matricula'!$A$2:$A$61,0)),"")</f>
        <v/>
      </c>
      <c r="Y27" t="str">
        <f>IFERROR(INDEX('1.6 Polos'!$B$2:$B$61,MATCH(L27,'1.6 Polos'!$A$2:$A$61,0)),"")</f>
        <v/>
      </c>
    </row>
    <row r="28" spans="14:25" x14ac:dyDescent="0.35">
      <c r="N28" t="str">
        <f>IFERROR(INDEX('3.2 Estudantes'!$D$2:$D$61,MATCH(A28,'3.2 Estudantes'!$A$2:$A$61,0)),"")</f>
        <v/>
      </c>
      <c r="O28" t="str">
        <f>IFERROR(INDEX('2.1 Cursos'!$B$2:$B$61,MATCH(B28,'2.1 Cursos'!$A$2:$A$61,0)),"")</f>
        <v/>
      </c>
      <c r="P28" t="str">
        <f>IFERROR(INDEX('2.4 Curriculos'!$C$2:$C$61,MATCH(C28,'2.4 Curriculos'!$B$2:$B$61,0)),"")</f>
        <v/>
      </c>
      <c r="Q28" t="str">
        <f>IFERROR(INDEX('2.3 Periodos'!$B$2:$B$61,MATCH(D28,'2.3 Periodos'!$A$2:$A$61,0)),"")</f>
        <v/>
      </c>
      <c r="R28" t="str">
        <f>IFERROR(INDEX('1.5 Campus'!$B$2:$B$61,MATCH(E28,'1.5 Campus'!$A$2:$A$61,0)),"")</f>
        <v/>
      </c>
      <c r="S28" t="str">
        <f>IFERROR(INDEX('1.7 Sit Matricula'!$B$2:$B$61,MATCH(F28,'1.7 Sit Matricula'!$A$2:$A$61,0)),"")</f>
        <v/>
      </c>
      <c r="T28" t="str">
        <f t="shared" si="0"/>
        <v/>
      </c>
      <c r="U28" t="str">
        <f t="shared" si="1"/>
        <v/>
      </c>
      <c r="V28" t="str">
        <f t="shared" si="2"/>
        <v/>
      </c>
      <c r="W28" t="str">
        <f>IFERROR(INDEX('1.4 Turnos'!$B$2:$B$61,MATCH(J28,'1.4 Turnos'!$A$2:$A$61,0)),"")</f>
        <v/>
      </c>
      <c r="X28" t="str">
        <f>IFERROR(INDEX('4.1 Grupos Matricula'!$B$2:$B$61,MATCH(K28,'4.1 Grupos Matricula'!$A$2:$A$61,0)),"")</f>
        <v/>
      </c>
      <c r="Y28" t="str">
        <f>IFERROR(INDEX('1.6 Polos'!$B$2:$B$61,MATCH(L28,'1.6 Polos'!$A$2:$A$61,0)),"")</f>
        <v/>
      </c>
    </row>
    <row r="29" spans="14:25" x14ac:dyDescent="0.35">
      <c r="N29" t="str">
        <f>IFERROR(INDEX('3.2 Estudantes'!$D$2:$D$61,MATCH(A29,'3.2 Estudantes'!$A$2:$A$61,0)),"")</f>
        <v/>
      </c>
      <c r="O29" t="str">
        <f>IFERROR(INDEX('2.1 Cursos'!$B$2:$B$61,MATCH(B29,'2.1 Cursos'!$A$2:$A$61,0)),"")</f>
        <v/>
      </c>
      <c r="P29" t="str">
        <f>IFERROR(INDEX('2.4 Curriculos'!$C$2:$C$61,MATCH(C29,'2.4 Curriculos'!$B$2:$B$61,0)),"")</f>
        <v/>
      </c>
      <c r="Q29" t="str">
        <f>IFERROR(INDEX('2.3 Periodos'!$B$2:$B$61,MATCH(D29,'2.3 Periodos'!$A$2:$A$61,0)),"")</f>
        <v/>
      </c>
      <c r="R29" t="str">
        <f>IFERROR(INDEX('1.5 Campus'!$B$2:$B$61,MATCH(E29,'1.5 Campus'!$A$2:$A$61,0)),"")</f>
        <v/>
      </c>
      <c r="S29" t="str">
        <f>IFERROR(INDEX('1.7 Sit Matricula'!$B$2:$B$61,MATCH(F29,'1.7 Sit Matricula'!$A$2:$A$61,0)),"")</f>
        <v/>
      </c>
      <c r="T29" t="str">
        <f t="shared" si="0"/>
        <v/>
      </c>
      <c r="U29" t="str">
        <f t="shared" si="1"/>
        <v/>
      </c>
      <c r="V29" t="str">
        <f t="shared" si="2"/>
        <v/>
      </c>
      <c r="W29" t="str">
        <f>IFERROR(INDEX('1.4 Turnos'!$B$2:$B$61,MATCH(J29,'1.4 Turnos'!$A$2:$A$61,0)),"")</f>
        <v/>
      </c>
      <c r="X29" t="str">
        <f>IFERROR(INDEX('4.1 Grupos Matricula'!$B$2:$B$61,MATCH(K29,'4.1 Grupos Matricula'!$A$2:$A$61,0)),"")</f>
        <v/>
      </c>
      <c r="Y29" t="str">
        <f>IFERROR(INDEX('1.6 Polos'!$B$2:$B$61,MATCH(L29,'1.6 Polos'!$A$2:$A$61,0)),"")</f>
        <v/>
      </c>
    </row>
    <row r="30" spans="14:25" x14ac:dyDescent="0.35">
      <c r="N30" t="str">
        <f>IFERROR(INDEX('3.2 Estudantes'!$D$2:$D$61,MATCH(A30,'3.2 Estudantes'!$A$2:$A$61,0)),"")</f>
        <v/>
      </c>
      <c r="O30" t="str">
        <f>IFERROR(INDEX('2.1 Cursos'!$B$2:$B$61,MATCH(B30,'2.1 Cursos'!$A$2:$A$61,0)),"")</f>
        <v/>
      </c>
      <c r="P30" t="str">
        <f>IFERROR(INDEX('2.4 Curriculos'!$C$2:$C$61,MATCH(C30,'2.4 Curriculos'!$B$2:$B$61,0)),"")</f>
        <v/>
      </c>
      <c r="Q30" t="str">
        <f>IFERROR(INDEX('2.3 Periodos'!$B$2:$B$61,MATCH(D30,'2.3 Periodos'!$A$2:$A$61,0)),"")</f>
        <v/>
      </c>
      <c r="R30" t="str">
        <f>IFERROR(INDEX('1.5 Campus'!$B$2:$B$61,MATCH(E30,'1.5 Campus'!$A$2:$A$61,0)),"")</f>
        <v/>
      </c>
      <c r="S30" t="str">
        <f>IFERROR(INDEX('1.7 Sit Matricula'!$B$2:$B$61,MATCH(F30,'1.7 Sit Matricula'!$A$2:$A$61,0)),"")</f>
        <v/>
      </c>
      <c r="T30" t="str">
        <f t="shared" si="0"/>
        <v/>
      </c>
      <c r="U30" t="str">
        <f t="shared" si="1"/>
        <v/>
      </c>
      <c r="V30" t="str">
        <f t="shared" si="2"/>
        <v/>
      </c>
      <c r="W30" t="str">
        <f>IFERROR(INDEX('1.4 Turnos'!$B$2:$B$61,MATCH(J30,'1.4 Turnos'!$A$2:$A$61,0)),"")</f>
        <v/>
      </c>
      <c r="X30" t="str">
        <f>IFERROR(INDEX('4.1 Grupos Matricula'!$B$2:$B$61,MATCH(K30,'4.1 Grupos Matricula'!$A$2:$A$61,0)),"")</f>
        <v/>
      </c>
      <c r="Y30" t="str">
        <f>IFERROR(INDEX('1.6 Polos'!$B$2:$B$61,MATCH(L30,'1.6 Polos'!$A$2:$A$61,0)),"")</f>
        <v/>
      </c>
    </row>
    <row r="31" spans="14:25" x14ac:dyDescent="0.35">
      <c r="N31" t="str">
        <f>IFERROR(INDEX('3.2 Estudantes'!$D$2:$D$61,MATCH(A31,'3.2 Estudantes'!$A$2:$A$61,0)),"")</f>
        <v/>
      </c>
      <c r="O31" t="str">
        <f>IFERROR(INDEX('2.1 Cursos'!$B$2:$B$61,MATCH(B31,'2.1 Cursos'!$A$2:$A$61,0)),"")</f>
        <v/>
      </c>
      <c r="P31" t="str">
        <f>IFERROR(INDEX('2.4 Curriculos'!$C$2:$C$61,MATCH(C31,'2.4 Curriculos'!$B$2:$B$61,0)),"")</f>
        <v/>
      </c>
      <c r="Q31" t="str">
        <f>IFERROR(INDEX('2.3 Periodos'!$B$2:$B$61,MATCH(D31,'2.3 Periodos'!$A$2:$A$61,0)),"")</f>
        <v/>
      </c>
      <c r="R31" t="str">
        <f>IFERROR(INDEX('1.5 Campus'!$B$2:$B$61,MATCH(E31,'1.5 Campus'!$A$2:$A$61,0)),"")</f>
        <v/>
      </c>
      <c r="S31" t="str">
        <f>IFERROR(INDEX('1.7 Sit Matricula'!$B$2:$B$61,MATCH(F31,'1.7 Sit Matricula'!$A$2:$A$61,0)),"")</f>
        <v/>
      </c>
      <c r="T31" t="str">
        <f t="shared" si="0"/>
        <v/>
      </c>
      <c r="U31" t="str">
        <f t="shared" si="1"/>
        <v/>
      </c>
      <c r="V31" t="str">
        <f t="shared" si="2"/>
        <v/>
      </c>
      <c r="W31" t="str">
        <f>IFERROR(INDEX('1.4 Turnos'!$B$2:$B$61,MATCH(J31,'1.4 Turnos'!$A$2:$A$61,0)),"")</f>
        <v/>
      </c>
      <c r="X31" t="str">
        <f>IFERROR(INDEX('4.1 Grupos Matricula'!$B$2:$B$61,MATCH(K31,'4.1 Grupos Matricula'!$A$2:$A$61,0)),"")</f>
        <v/>
      </c>
      <c r="Y31" t="str">
        <f>IFERROR(INDEX('1.6 Polos'!$B$2:$B$61,MATCH(L31,'1.6 Polos'!$A$2:$A$61,0)),"")</f>
        <v/>
      </c>
    </row>
    <row r="32" spans="14:25" x14ac:dyDescent="0.35">
      <c r="N32" t="str">
        <f>IFERROR(INDEX('3.2 Estudantes'!$D$2:$D$61,MATCH(A32,'3.2 Estudantes'!$A$2:$A$61,0)),"")</f>
        <v/>
      </c>
      <c r="O32" t="str">
        <f>IFERROR(INDEX('2.1 Cursos'!$B$2:$B$61,MATCH(B32,'2.1 Cursos'!$A$2:$A$61,0)),"")</f>
        <v/>
      </c>
      <c r="P32" t="str">
        <f>IFERROR(INDEX('2.4 Curriculos'!$C$2:$C$61,MATCH(C32,'2.4 Curriculos'!$B$2:$B$61,0)),"")</f>
        <v/>
      </c>
      <c r="Q32" t="str">
        <f>IFERROR(INDEX('2.3 Periodos'!$B$2:$B$61,MATCH(D32,'2.3 Periodos'!$A$2:$A$61,0)),"")</f>
        <v/>
      </c>
      <c r="R32" t="str">
        <f>IFERROR(INDEX('1.5 Campus'!$B$2:$B$61,MATCH(E32,'1.5 Campus'!$A$2:$A$61,0)),"")</f>
        <v/>
      </c>
      <c r="S32" t="str">
        <f>IFERROR(INDEX('1.7 Sit Matricula'!$B$2:$B$61,MATCH(F32,'1.7 Sit Matricula'!$A$2:$A$61,0)),"")</f>
        <v/>
      </c>
      <c r="T32" t="str">
        <f t="shared" si="0"/>
        <v/>
      </c>
      <c r="U32" t="str">
        <f t="shared" si="1"/>
        <v/>
      </c>
      <c r="V32" t="str">
        <f t="shared" si="2"/>
        <v/>
      </c>
      <c r="W32" t="str">
        <f>IFERROR(INDEX('1.4 Turnos'!$B$2:$B$61,MATCH(J32,'1.4 Turnos'!$A$2:$A$61,0)),"")</f>
        <v/>
      </c>
      <c r="X32" t="str">
        <f>IFERROR(INDEX('4.1 Grupos Matricula'!$B$2:$B$61,MATCH(K32,'4.1 Grupos Matricula'!$A$2:$A$61,0)),"")</f>
        <v/>
      </c>
      <c r="Y32" t="str">
        <f>IFERROR(INDEX('1.6 Polos'!$B$2:$B$61,MATCH(L32,'1.6 Polos'!$A$2:$A$61,0)),"")</f>
        <v/>
      </c>
    </row>
    <row r="33" spans="14:25" x14ac:dyDescent="0.35">
      <c r="N33" t="str">
        <f>IFERROR(INDEX('3.2 Estudantes'!$D$2:$D$61,MATCH(A33,'3.2 Estudantes'!$A$2:$A$61,0)),"")</f>
        <v/>
      </c>
      <c r="O33" t="str">
        <f>IFERROR(INDEX('2.1 Cursos'!$B$2:$B$61,MATCH(B33,'2.1 Cursos'!$A$2:$A$61,0)),"")</f>
        <v/>
      </c>
      <c r="P33" t="str">
        <f>IFERROR(INDEX('2.4 Curriculos'!$C$2:$C$61,MATCH(C33,'2.4 Curriculos'!$B$2:$B$61,0)),"")</f>
        <v/>
      </c>
      <c r="Q33" t="str">
        <f>IFERROR(INDEX('2.3 Periodos'!$B$2:$B$61,MATCH(D33,'2.3 Periodos'!$A$2:$A$61,0)),"")</f>
        <v/>
      </c>
      <c r="R33" t="str">
        <f>IFERROR(INDEX('1.5 Campus'!$B$2:$B$61,MATCH(E33,'1.5 Campus'!$A$2:$A$61,0)),"")</f>
        <v/>
      </c>
      <c r="S33" t="str">
        <f>IFERROR(INDEX('1.7 Sit Matricula'!$B$2:$B$61,MATCH(F33,'1.7 Sit Matricula'!$A$2:$A$61,0)),"")</f>
        <v/>
      </c>
      <c r="T33" t="str">
        <f t="shared" si="0"/>
        <v/>
      </c>
      <c r="U33" t="str">
        <f t="shared" si="1"/>
        <v/>
      </c>
      <c r="V33" t="str">
        <f t="shared" si="2"/>
        <v/>
      </c>
      <c r="W33" t="str">
        <f>IFERROR(INDEX('1.4 Turnos'!$B$2:$B$61,MATCH(J33,'1.4 Turnos'!$A$2:$A$61,0)),"")</f>
        <v/>
      </c>
      <c r="X33" t="str">
        <f>IFERROR(INDEX('4.1 Grupos Matricula'!$B$2:$B$61,MATCH(K33,'4.1 Grupos Matricula'!$A$2:$A$61,0)),"")</f>
        <v/>
      </c>
      <c r="Y33" t="str">
        <f>IFERROR(INDEX('1.6 Polos'!$B$2:$B$61,MATCH(L33,'1.6 Polos'!$A$2:$A$61,0)),"")</f>
        <v/>
      </c>
    </row>
    <row r="34" spans="14:25" x14ac:dyDescent="0.35">
      <c r="N34" t="str">
        <f>IFERROR(INDEX('3.2 Estudantes'!$D$2:$D$61,MATCH(A34,'3.2 Estudantes'!$A$2:$A$61,0)),"")</f>
        <v/>
      </c>
      <c r="O34" t="str">
        <f>IFERROR(INDEX('2.1 Cursos'!$B$2:$B$61,MATCH(B34,'2.1 Cursos'!$A$2:$A$61,0)),"")</f>
        <v/>
      </c>
      <c r="P34" t="str">
        <f>IFERROR(INDEX('2.4 Curriculos'!$C$2:$C$61,MATCH(C34,'2.4 Curriculos'!$B$2:$B$61,0)),"")</f>
        <v/>
      </c>
      <c r="Q34" t="str">
        <f>IFERROR(INDEX('2.3 Periodos'!$B$2:$B$61,MATCH(D34,'2.3 Periodos'!$A$2:$A$61,0)),"")</f>
        <v/>
      </c>
      <c r="R34" t="str">
        <f>IFERROR(INDEX('1.5 Campus'!$B$2:$B$61,MATCH(E34,'1.5 Campus'!$A$2:$A$61,0)),"")</f>
        <v/>
      </c>
      <c r="S34" t="str">
        <f>IFERROR(INDEX('1.7 Sit Matricula'!$B$2:$B$61,MATCH(F34,'1.7 Sit Matricula'!$A$2:$A$61,0)),"")</f>
        <v/>
      </c>
      <c r="T34" t="str">
        <f t="shared" ref="T34:T61" si="3">IF(G34="","",G34)</f>
        <v/>
      </c>
      <c r="U34" t="str">
        <f t="shared" ref="U34:U61" si="4">IF(H34="","",H34)</f>
        <v/>
      </c>
      <c r="V34" t="str">
        <f t="shared" ref="V34:V61" si="5">IF(I34="","",I34)</f>
        <v/>
      </c>
      <c r="W34" t="str">
        <f>IFERROR(INDEX('1.4 Turnos'!$B$2:$B$61,MATCH(J34,'1.4 Turnos'!$A$2:$A$61,0)),"")</f>
        <v/>
      </c>
      <c r="X34" t="str">
        <f>IFERROR(INDEX('4.1 Grupos Matricula'!$B$2:$B$61,MATCH(K34,'4.1 Grupos Matricula'!$A$2:$A$61,0)),"")</f>
        <v/>
      </c>
      <c r="Y34" t="str">
        <f>IFERROR(INDEX('1.6 Polos'!$B$2:$B$61,MATCH(L34,'1.6 Polos'!$A$2:$A$61,0)),"")</f>
        <v/>
      </c>
    </row>
    <row r="35" spans="14:25" x14ac:dyDescent="0.35">
      <c r="N35" t="str">
        <f>IFERROR(INDEX('3.2 Estudantes'!$D$2:$D$61,MATCH(A35,'3.2 Estudantes'!$A$2:$A$61,0)),"")</f>
        <v/>
      </c>
      <c r="O35" t="str">
        <f>IFERROR(INDEX('2.1 Cursos'!$B$2:$B$61,MATCH(B35,'2.1 Cursos'!$A$2:$A$61,0)),"")</f>
        <v/>
      </c>
      <c r="P35" t="str">
        <f>IFERROR(INDEX('2.4 Curriculos'!$C$2:$C$61,MATCH(C35,'2.4 Curriculos'!$B$2:$B$61,0)),"")</f>
        <v/>
      </c>
      <c r="Q35" t="str">
        <f>IFERROR(INDEX('2.3 Periodos'!$B$2:$B$61,MATCH(D35,'2.3 Periodos'!$A$2:$A$61,0)),"")</f>
        <v/>
      </c>
      <c r="R35" t="str">
        <f>IFERROR(INDEX('1.5 Campus'!$B$2:$B$61,MATCH(E35,'1.5 Campus'!$A$2:$A$61,0)),"")</f>
        <v/>
      </c>
      <c r="S35" t="str">
        <f>IFERROR(INDEX('1.7 Sit Matricula'!$B$2:$B$61,MATCH(F35,'1.7 Sit Matricula'!$A$2:$A$61,0)),"")</f>
        <v/>
      </c>
      <c r="T35" t="str">
        <f t="shared" si="3"/>
        <v/>
      </c>
      <c r="U35" t="str">
        <f t="shared" si="4"/>
        <v/>
      </c>
      <c r="V35" t="str">
        <f t="shared" si="5"/>
        <v/>
      </c>
      <c r="W35" t="str">
        <f>IFERROR(INDEX('1.4 Turnos'!$B$2:$B$61,MATCH(J35,'1.4 Turnos'!$A$2:$A$61,0)),"")</f>
        <v/>
      </c>
      <c r="X35" t="str">
        <f>IFERROR(INDEX('4.1 Grupos Matricula'!$B$2:$B$61,MATCH(K35,'4.1 Grupos Matricula'!$A$2:$A$61,0)),"")</f>
        <v/>
      </c>
      <c r="Y35" t="str">
        <f>IFERROR(INDEX('1.6 Polos'!$B$2:$B$61,MATCH(L35,'1.6 Polos'!$A$2:$A$61,0)),"")</f>
        <v/>
      </c>
    </row>
    <row r="36" spans="14:25" x14ac:dyDescent="0.35">
      <c r="N36" t="str">
        <f>IFERROR(INDEX('3.2 Estudantes'!$D$2:$D$61,MATCH(A36,'3.2 Estudantes'!$A$2:$A$61,0)),"")</f>
        <v/>
      </c>
      <c r="O36" t="str">
        <f>IFERROR(INDEX('2.1 Cursos'!$B$2:$B$61,MATCH(B36,'2.1 Cursos'!$A$2:$A$61,0)),"")</f>
        <v/>
      </c>
      <c r="P36" t="str">
        <f>IFERROR(INDEX('2.4 Curriculos'!$C$2:$C$61,MATCH(C36,'2.4 Curriculos'!$B$2:$B$61,0)),"")</f>
        <v/>
      </c>
      <c r="Q36" t="str">
        <f>IFERROR(INDEX('2.3 Periodos'!$B$2:$B$61,MATCH(D36,'2.3 Periodos'!$A$2:$A$61,0)),"")</f>
        <v/>
      </c>
      <c r="R36" t="str">
        <f>IFERROR(INDEX('1.5 Campus'!$B$2:$B$61,MATCH(E36,'1.5 Campus'!$A$2:$A$61,0)),"")</f>
        <v/>
      </c>
      <c r="S36" t="str">
        <f>IFERROR(INDEX('1.7 Sit Matricula'!$B$2:$B$61,MATCH(F36,'1.7 Sit Matricula'!$A$2:$A$61,0)),"")</f>
        <v/>
      </c>
      <c r="T36" t="str">
        <f t="shared" si="3"/>
        <v/>
      </c>
      <c r="U36" t="str">
        <f t="shared" si="4"/>
        <v/>
      </c>
      <c r="V36" t="str">
        <f t="shared" si="5"/>
        <v/>
      </c>
      <c r="W36" t="str">
        <f>IFERROR(INDEX('1.4 Turnos'!$B$2:$B$61,MATCH(J36,'1.4 Turnos'!$A$2:$A$61,0)),"")</f>
        <v/>
      </c>
      <c r="X36" t="str">
        <f>IFERROR(INDEX('4.1 Grupos Matricula'!$B$2:$B$61,MATCH(K36,'4.1 Grupos Matricula'!$A$2:$A$61,0)),"")</f>
        <v/>
      </c>
      <c r="Y36" t="str">
        <f>IFERROR(INDEX('1.6 Polos'!$B$2:$B$61,MATCH(L36,'1.6 Polos'!$A$2:$A$61,0)),"")</f>
        <v/>
      </c>
    </row>
    <row r="37" spans="14:25" x14ac:dyDescent="0.35">
      <c r="N37" t="str">
        <f>IFERROR(INDEX('3.2 Estudantes'!$D$2:$D$61,MATCH(A37,'3.2 Estudantes'!$A$2:$A$61,0)),"")</f>
        <v/>
      </c>
      <c r="O37" t="str">
        <f>IFERROR(INDEX('2.1 Cursos'!$B$2:$B$61,MATCH(B37,'2.1 Cursos'!$A$2:$A$61,0)),"")</f>
        <v/>
      </c>
      <c r="P37" t="str">
        <f>IFERROR(INDEX('2.4 Curriculos'!$C$2:$C$61,MATCH(C37,'2.4 Curriculos'!$B$2:$B$61,0)),"")</f>
        <v/>
      </c>
      <c r="Q37" t="str">
        <f>IFERROR(INDEX('2.3 Periodos'!$B$2:$B$61,MATCH(D37,'2.3 Periodos'!$A$2:$A$61,0)),"")</f>
        <v/>
      </c>
      <c r="R37" t="str">
        <f>IFERROR(INDEX('1.5 Campus'!$B$2:$B$61,MATCH(E37,'1.5 Campus'!$A$2:$A$61,0)),"")</f>
        <v/>
      </c>
      <c r="S37" t="str">
        <f>IFERROR(INDEX('1.7 Sit Matricula'!$B$2:$B$61,MATCH(F37,'1.7 Sit Matricula'!$A$2:$A$61,0)),"")</f>
        <v/>
      </c>
      <c r="T37" t="str">
        <f t="shared" si="3"/>
        <v/>
      </c>
      <c r="U37" t="str">
        <f t="shared" si="4"/>
        <v/>
      </c>
      <c r="V37" t="str">
        <f t="shared" si="5"/>
        <v/>
      </c>
      <c r="W37" t="str">
        <f>IFERROR(INDEX('1.4 Turnos'!$B$2:$B$61,MATCH(J37,'1.4 Turnos'!$A$2:$A$61,0)),"")</f>
        <v/>
      </c>
      <c r="X37" t="str">
        <f>IFERROR(INDEX('4.1 Grupos Matricula'!$B$2:$B$61,MATCH(K37,'4.1 Grupos Matricula'!$A$2:$A$61,0)),"")</f>
        <v/>
      </c>
      <c r="Y37" t="str">
        <f>IFERROR(INDEX('1.6 Polos'!$B$2:$B$61,MATCH(L37,'1.6 Polos'!$A$2:$A$61,0)),"")</f>
        <v/>
      </c>
    </row>
    <row r="38" spans="14:25" x14ac:dyDescent="0.35">
      <c r="N38" t="str">
        <f>IFERROR(INDEX('3.2 Estudantes'!$D$2:$D$61,MATCH(A38,'3.2 Estudantes'!$A$2:$A$61,0)),"")</f>
        <v/>
      </c>
      <c r="O38" t="str">
        <f>IFERROR(INDEX('2.1 Cursos'!$B$2:$B$61,MATCH(B38,'2.1 Cursos'!$A$2:$A$61,0)),"")</f>
        <v/>
      </c>
      <c r="P38" t="str">
        <f>IFERROR(INDEX('2.4 Curriculos'!$C$2:$C$61,MATCH(C38,'2.4 Curriculos'!$B$2:$B$61,0)),"")</f>
        <v/>
      </c>
      <c r="Q38" t="str">
        <f>IFERROR(INDEX('2.3 Periodos'!$B$2:$B$61,MATCH(D38,'2.3 Periodos'!$A$2:$A$61,0)),"")</f>
        <v/>
      </c>
      <c r="R38" t="str">
        <f>IFERROR(INDEX('1.5 Campus'!$B$2:$B$61,MATCH(E38,'1.5 Campus'!$A$2:$A$61,0)),"")</f>
        <v/>
      </c>
      <c r="S38" t="str">
        <f>IFERROR(INDEX('1.7 Sit Matricula'!$B$2:$B$61,MATCH(F38,'1.7 Sit Matricula'!$A$2:$A$61,0)),"")</f>
        <v/>
      </c>
      <c r="T38" t="str">
        <f t="shared" si="3"/>
        <v/>
      </c>
      <c r="U38" t="str">
        <f t="shared" si="4"/>
        <v/>
      </c>
      <c r="V38" t="str">
        <f t="shared" si="5"/>
        <v/>
      </c>
      <c r="W38" t="str">
        <f>IFERROR(INDEX('1.4 Turnos'!$B$2:$B$61,MATCH(J38,'1.4 Turnos'!$A$2:$A$61,0)),"")</f>
        <v/>
      </c>
      <c r="X38" t="str">
        <f>IFERROR(INDEX('4.1 Grupos Matricula'!$B$2:$B$61,MATCH(K38,'4.1 Grupos Matricula'!$A$2:$A$61,0)),"")</f>
        <v/>
      </c>
      <c r="Y38" t="str">
        <f>IFERROR(INDEX('1.6 Polos'!$B$2:$B$61,MATCH(L38,'1.6 Polos'!$A$2:$A$61,0)),"")</f>
        <v/>
      </c>
    </row>
    <row r="39" spans="14:25" x14ac:dyDescent="0.35">
      <c r="N39" t="str">
        <f>IFERROR(INDEX('3.2 Estudantes'!$D$2:$D$61,MATCH(A39,'3.2 Estudantes'!$A$2:$A$61,0)),"")</f>
        <v/>
      </c>
      <c r="O39" t="str">
        <f>IFERROR(INDEX('2.1 Cursos'!$B$2:$B$61,MATCH(B39,'2.1 Cursos'!$A$2:$A$61,0)),"")</f>
        <v/>
      </c>
      <c r="P39" t="str">
        <f>IFERROR(INDEX('2.4 Curriculos'!$C$2:$C$61,MATCH(C39,'2.4 Curriculos'!$B$2:$B$61,0)),"")</f>
        <v/>
      </c>
      <c r="Q39" t="str">
        <f>IFERROR(INDEX('2.3 Periodos'!$B$2:$B$61,MATCH(D39,'2.3 Periodos'!$A$2:$A$61,0)),"")</f>
        <v/>
      </c>
      <c r="R39" t="str">
        <f>IFERROR(INDEX('1.5 Campus'!$B$2:$B$61,MATCH(E39,'1.5 Campus'!$A$2:$A$61,0)),"")</f>
        <v/>
      </c>
      <c r="S39" t="str">
        <f>IFERROR(INDEX('1.7 Sit Matricula'!$B$2:$B$61,MATCH(F39,'1.7 Sit Matricula'!$A$2:$A$61,0)),"")</f>
        <v/>
      </c>
      <c r="T39" t="str">
        <f t="shared" si="3"/>
        <v/>
      </c>
      <c r="U39" t="str">
        <f t="shared" si="4"/>
        <v/>
      </c>
      <c r="V39" t="str">
        <f t="shared" si="5"/>
        <v/>
      </c>
      <c r="W39" t="str">
        <f>IFERROR(INDEX('1.4 Turnos'!$B$2:$B$61,MATCH(J39,'1.4 Turnos'!$A$2:$A$61,0)),"")</f>
        <v/>
      </c>
      <c r="X39" t="str">
        <f>IFERROR(INDEX('4.1 Grupos Matricula'!$B$2:$B$61,MATCH(K39,'4.1 Grupos Matricula'!$A$2:$A$61,0)),"")</f>
        <v/>
      </c>
      <c r="Y39" t="str">
        <f>IFERROR(INDEX('1.6 Polos'!$B$2:$B$61,MATCH(L39,'1.6 Polos'!$A$2:$A$61,0)),"")</f>
        <v/>
      </c>
    </row>
    <row r="40" spans="14:25" x14ac:dyDescent="0.35">
      <c r="N40" t="str">
        <f>IFERROR(INDEX('3.2 Estudantes'!$D$2:$D$61,MATCH(A40,'3.2 Estudantes'!$A$2:$A$61,0)),"")</f>
        <v/>
      </c>
      <c r="O40" t="str">
        <f>IFERROR(INDEX('2.1 Cursos'!$B$2:$B$61,MATCH(B40,'2.1 Cursos'!$A$2:$A$61,0)),"")</f>
        <v/>
      </c>
      <c r="P40" t="str">
        <f>IFERROR(INDEX('2.4 Curriculos'!$C$2:$C$61,MATCH(C40,'2.4 Curriculos'!$B$2:$B$61,0)),"")</f>
        <v/>
      </c>
      <c r="Q40" t="str">
        <f>IFERROR(INDEX('2.3 Periodos'!$B$2:$B$61,MATCH(D40,'2.3 Periodos'!$A$2:$A$61,0)),"")</f>
        <v/>
      </c>
      <c r="R40" t="str">
        <f>IFERROR(INDEX('1.5 Campus'!$B$2:$B$61,MATCH(E40,'1.5 Campus'!$A$2:$A$61,0)),"")</f>
        <v/>
      </c>
      <c r="S40" t="str">
        <f>IFERROR(INDEX('1.7 Sit Matricula'!$B$2:$B$61,MATCH(F40,'1.7 Sit Matricula'!$A$2:$A$61,0)),"")</f>
        <v/>
      </c>
      <c r="T40" t="str">
        <f t="shared" si="3"/>
        <v/>
      </c>
      <c r="U40" t="str">
        <f t="shared" si="4"/>
        <v/>
      </c>
      <c r="V40" t="str">
        <f t="shared" si="5"/>
        <v/>
      </c>
      <c r="W40" t="str">
        <f>IFERROR(INDEX('1.4 Turnos'!$B$2:$B$61,MATCH(J40,'1.4 Turnos'!$A$2:$A$61,0)),"")</f>
        <v/>
      </c>
      <c r="X40" t="str">
        <f>IFERROR(INDEX('4.1 Grupos Matricula'!$B$2:$B$61,MATCH(K40,'4.1 Grupos Matricula'!$A$2:$A$61,0)),"")</f>
        <v/>
      </c>
      <c r="Y40" t="str">
        <f>IFERROR(INDEX('1.6 Polos'!$B$2:$B$61,MATCH(L40,'1.6 Polos'!$A$2:$A$61,0)),"")</f>
        <v/>
      </c>
    </row>
    <row r="41" spans="14:25" x14ac:dyDescent="0.35">
      <c r="N41" t="str">
        <f>IFERROR(INDEX('3.2 Estudantes'!$D$2:$D$61,MATCH(A41,'3.2 Estudantes'!$A$2:$A$61,0)),"")</f>
        <v/>
      </c>
      <c r="O41" t="str">
        <f>IFERROR(INDEX('2.1 Cursos'!$B$2:$B$61,MATCH(B41,'2.1 Cursos'!$A$2:$A$61,0)),"")</f>
        <v/>
      </c>
      <c r="P41" t="str">
        <f>IFERROR(INDEX('2.4 Curriculos'!$C$2:$C$61,MATCH(C41,'2.4 Curriculos'!$B$2:$B$61,0)),"")</f>
        <v/>
      </c>
      <c r="Q41" t="str">
        <f>IFERROR(INDEX('2.3 Periodos'!$B$2:$B$61,MATCH(D41,'2.3 Periodos'!$A$2:$A$61,0)),"")</f>
        <v/>
      </c>
      <c r="R41" t="str">
        <f>IFERROR(INDEX('1.5 Campus'!$B$2:$B$61,MATCH(E41,'1.5 Campus'!$A$2:$A$61,0)),"")</f>
        <v/>
      </c>
      <c r="S41" t="str">
        <f>IFERROR(INDEX('1.7 Sit Matricula'!$B$2:$B$61,MATCH(F41,'1.7 Sit Matricula'!$A$2:$A$61,0)),"")</f>
        <v/>
      </c>
      <c r="T41" t="str">
        <f t="shared" si="3"/>
        <v/>
      </c>
      <c r="U41" t="str">
        <f t="shared" si="4"/>
        <v/>
      </c>
      <c r="V41" t="str">
        <f t="shared" si="5"/>
        <v/>
      </c>
      <c r="W41" t="str">
        <f>IFERROR(INDEX('1.4 Turnos'!$B$2:$B$61,MATCH(J41,'1.4 Turnos'!$A$2:$A$61,0)),"")</f>
        <v/>
      </c>
      <c r="X41" t="str">
        <f>IFERROR(INDEX('4.1 Grupos Matricula'!$B$2:$B$61,MATCH(K41,'4.1 Grupos Matricula'!$A$2:$A$61,0)),"")</f>
        <v/>
      </c>
      <c r="Y41" t="str">
        <f>IFERROR(INDEX('1.6 Polos'!$B$2:$B$61,MATCH(L41,'1.6 Polos'!$A$2:$A$61,0)),"")</f>
        <v/>
      </c>
    </row>
    <row r="42" spans="14:25" x14ac:dyDescent="0.35">
      <c r="N42" t="str">
        <f>IFERROR(INDEX('3.2 Estudantes'!$D$2:$D$61,MATCH(A42,'3.2 Estudantes'!$A$2:$A$61,0)),"")</f>
        <v/>
      </c>
      <c r="O42" t="str">
        <f>IFERROR(INDEX('2.1 Cursos'!$B$2:$B$61,MATCH(B42,'2.1 Cursos'!$A$2:$A$61,0)),"")</f>
        <v/>
      </c>
      <c r="P42" t="str">
        <f>IFERROR(INDEX('2.4 Curriculos'!$C$2:$C$61,MATCH(C42,'2.4 Curriculos'!$B$2:$B$61,0)),"")</f>
        <v/>
      </c>
      <c r="Q42" t="str">
        <f>IFERROR(INDEX('2.3 Periodos'!$B$2:$B$61,MATCH(D42,'2.3 Periodos'!$A$2:$A$61,0)),"")</f>
        <v/>
      </c>
      <c r="R42" t="str">
        <f>IFERROR(INDEX('1.5 Campus'!$B$2:$B$61,MATCH(E42,'1.5 Campus'!$A$2:$A$61,0)),"")</f>
        <v/>
      </c>
      <c r="S42" t="str">
        <f>IFERROR(INDEX('1.7 Sit Matricula'!$B$2:$B$61,MATCH(F42,'1.7 Sit Matricula'!$A$2:$A$61,0)),"")</f>
        <v/>
      </c>
      <c r="T42" t="str">
        <f t="shared" si="3"/>
        <v/>
      </c>
      <c r="U42" t="str">
        <f t="shared" si="4"/>
        <v/>
      </c>
      <c r="V42" t="str">
        <f t="shared" si="5"/>
        <v/>
      </c>
      <c r="W42" t="str">
        <f>IFERROR(INDEX('1.4 Turnos'!$B$2:$B$61,MATCH(J42,'1.4 Turnos'!$A$2:$A$61,0)),"")</f>
        <v/>
      </c>
      <c r="X42" t="str">
        <f>IFERROR(INDEX('4.1 Grupos Matricula'!$B$2:$B$61,MATCH(K42,'4.1 Grupos Matricula'!$A$2:$A$61,0)),"")</f>
        <v/>
      </c>
      <c r="Y42" t="str">
        <f>IFERROR(INDEX('1.6 Polos'!$B$2:$B$61,MATCH(L42,'1.6 Polos'!$A$2:$A$61,0)),"")</f>
        <v/>
      </c>
    </row>
    <row r="43" spans="14:25" x14ac:dyDescent="0.35">
      <c r="N43" t="str">
        <f>IFERROR(INDEX('3.2 Estudantes'!$D$2:$D$61,MATCH(A43,'3.2 Estudantes'!$A$2:$A$61,0)),"")</f>
        <v/>
      </c>
      <c r="O43" t="str">
        <f>IFERROR(INDEX('2.1 Cursos'!$B$2:$B$61,MATCH(B43,'2.1 Cursos'!$A$2:$A$61,0)),"")</f>
        <v/>
      </c>
      <c r="P43" t="str">
        <f>IFERROR(INDEX('2.4 Curriculos'!$C$2:$C$61,MATCH(C43,'2.4 Curriculos'!$B$2:$B$61,0)),"")</f>
        <v/>
      </c>
      <c r="Q43" t="str">
        <f>IFERROR(INDEX('2.3 Periodos'!$B$2:$B$61,MATCH(D43,'2.3 Periodos'!$A$2:$A$61,0)),"")</f>
        <v/>
      </c>
      <c r="R43" t="str">
        <f>IFERROR(INDEX('1.5 Campus'!$B$2:$B$61,MATCH(E43,'1.5 Campus'!$A$2:$A$61,0)),"")</f>
        <v/>
      </c>
      <c r="S43" t="str">
        <f>IFERROR(INDEX('1.7 Sit Matricula'!$B$2:$B$61,MATCH(F43,'1.7 Sit Matricula'!$A$2:$A$61,0)),"")</f>
        <v/>
      </c>
      <c r="T43" t="str">
        <f t="shared" si="3"/>
        <v/>
      </c>
      <c r="U43" t="str">
        <f t="shared" si="4"/>
        <v/>
      </c>
      <c r="V43" t="str">
        <f t="shared" si="5"/>
        <v/>
      </c>
      <c r="W43" t="str">
        <f>IFERROR(INDEX('1.4 Turnos'!$B$2:$B$61,MATCH(J43,'1.4 Turnos'!$A$2:$A$61,0)),"")</f>
        <v/>
      </c>
      <c r="X43" t="str">
        <f>IFERROR(INDEX('4.1 Grupos Matricula'!$B$2:$B$61,MATCH(K43,'4.1 Grupos Matricula'!$A$2:$A$61,0)),"")</f>
        <v/>
      </c>
      <c r="Y43" t="str">
        <f>IFERROR(INDEX('1.6 Polos'!$B$2:$B$61,MATCH(L43,'1.6 Polos'!$A$2:$A$61,0)),"")</f>
        <v/>
      </c>
    </row>
    <row r="44" spans="14:25" x14ac:dyDescent="0.35">
      <c r="N44" t="str">
        <f>IFERROR(INDEX('3.2 Estudantes'!$D$2:$D$61,MATCH(A44,'3.2 Estudantes'!$A$2:$A$61,0)),"")</f>
        <v/>
      </c>
      <c r="O44" t="str">
        <f>IFERROR(INDEX('2.1 Cursos'!$B$2:$B$61,MATCH(B44,'2.1 Cursos'!$A$2:$A$61,0)),"")</f>
        <v/>
      </c>
      <c r="P44" t="str">
        <f>IFERROR(INDEX('2.4 Curriculos'!$C$2:$C$61,MATCH(C44,'2.4 Curriculos'!$B$2:$B$61,0)),"")</f>
        <v/>
      </c>
      <c r="Q44" t="str">
        <f>IFERROR(INDEX('2.3 Periodos'!$B$2:$B$61,MATCH(D44,'2.3 Periodos'!$A$2:$A$61,0)),"")</f>
        <v/>
      </c>
      <c r="R44" t="str">
        <f>IFERROR(INDEX('1.5 Campus'!$B$2:$B$61,MATCH(E44,'1.5 Campus'!$A$2:$A$61,0)),"")</f>
        <v/>
      </c>
      <c r="S44" t="str">
        <f>IFERROR(INDEX('1.7 Sit Matricula'!$B$2:$B$61,MATCH(F44,'1.7 Sit Matricula'!$A$2:$A$61,0)),"")</f>
        <v/>
      </c>
      <c r="T44" t="str">
        <f t="shared" si="3"/>
        <v/>
      </c>
      <c r="U44" t="str">
        <f t="shared" si="4"/>
        <v/>
      </c>
      <c r="V44" t="str">
        <f t="shared" si="5"/>
        <v/>
      </c>
      <c r="W44" t="str">
        <f>IFERROR(INDEX('1.4 Turnos'!$B$2:$B$61,MATCH(J44,'1.4 Turnos'!$A$2:$A$61,0)),"")</f>
        <v/>
      </c>
      <c r="X44" t="str">
        <f>IFERROR(INDEX('4.1 Grupos Matricula'!$B$2:$B$61,MATCH(K44,'4.1 Grupos Matricula'!$A$2:$A$61,0)),"")</f>
        <v/>
      </c>
      <c r="Y44" t="str">
        <f>IFERROR(INDEX('1.6 Polos'!$B$2:$B$61,MATCH(L44,'1.6 Polos'!$A$2:$A$61,0)),"")</f>
        <v/>
      </c>
    </row>
    <row r="45" spans="14:25" x14ac:dyDescent="0.35">
      <c r="N45" t="str">
        <f>IFERROR(INDEX('3.2 Estudantes'!$D$2:$D$61,MATCH(A45,'3.2 Estudantes'!$A$2:$A$61,0)),"")</f>
        <v/>
      </c>
      <c r="O45" t="str">
        <f>IFERROR(INDEX('2.1 Cursos'!$B$2:$B$61,MATCH(B45,'2.1 Cursos'!$A$2:$A$61,0)),"")</f>
        <v/>
      </c>
      <c r="P45" t="str">
        <f>IFERROR(INDEX('2.4 Curriculos'!$C$2:$C$61,MATCH(C45,'2.4 Curriculos'!$B$2:$B$61,0)),"")</f>
        <v/>
      </c>
      <c r="Q45" t="str">
        <f>IFERROR(INDEX('2.3 Periodos'!$B$2:$B$61,MATCH(D45,'2.3 Periodos'!$A$2:$A$61,0)),"")</f>
        <v/>
      </c>
      <c r="R45" t="str">
        <f>IFERROR(INDEX('1.5 Campus'!$B$2:$B$61,MATCH(E45,'1.5 Campus'!$A$2:$A$61,0)),"")</f>
        <v/>
      </c>
      <c r="S45" t="str">
        <f>IFERROR(INDEX('1.7 Sit Matricula'!$B$2:$B$61,MATCH(F45,'1.7 Sit Matricula'!$A$2:$A$61,0)),"")</f>
        <v/>
      </c>
      <c r="T45" t="str">
        <f t="shared" si="3"/>
        <v/>
      </c>
      <c r="U45" t="str">
        <f t="shared" si="4"/>
        <v/>
      </c>
      <c r="V45" t="str">
        <f t="shared" si="5"/>
        <v/>
      </c>
      <c r="W45" t="str">
        <f>IFERROR(INDEX('1.4 Turnos'!$B$2:$B$61,MATCH(J45,'1.4 Turnos'!$A$2:$A$61,0)),"")</f>
        <v/>
      </c>
      <c r="X45" t="str">
        <f>IFERROR(INDEX('4.1 Grupos Matricula'!$B$2:$B$61,MATCH(K45,'4.1 Grupos Matricula'!$A$2:$A$61,0)),"")</f>
        <v/>
      </c>
      <c r="Y45" t="str">
        <f>IFERROR(INDEX('1.6 Polos'!$B$2:$B$61,MATCH(L45,'1.6 Polos'!$A$2:$A$61,0)),"")</f>
        <v/>
      </c>
    </row>
    <row r="46" spans="14:25" x14ac:dyDescent="0.35">
      <c r="N46" t="str">
        <f>IFERROR(INDEX('3.2 Estudantes'!$D$2:$D$61,MATCH(A46,'3.2 Estudantes'!$A$2:$A$61,0)),"")</f>
        <v/>
      </c>
      <c r="O46" t="str">
        <f>IFERROR(INDEX('2.1 Cursos'!$B$2:$B$61,MATCH(B46,'2.1 Cursos'!$A$2:$A$61,0)),"")</f>
        <v/>
      </c>
      <c r="P46" t="str">
        <f>IFERROR(INDEX('2.4 Curriculos'!$C$2:$C$61,MATCH(C46,'2.4 Curriculos'!$B$2:$B$61,0)),"")</f>
        <v/>
      </c>
      <c r="Q46" t="str">
        <f>IFERROR(INDEX('2.3 Periodos'!$B$2:$B$61,MATCH(D46,'2.3 Periodos'!$A$2:$A$61,0)),"")</f>
        <v/>
      </c>
      <c r="R46" t="str">
        <f>IFERROR(INDEX('1.5 Campus'!$B$2:$B$61,MATCH(E46,'1.5 Campus'!$A$2:$A$61,0)),"")</f>
        <v/>
      </c>
      <c r="S46" t="str">
        <f>IFERROR(INDEX('1.7 Sit Matricula'!$B$2:$B$61,MATCH(F46,'1.7 Sit Matricula'!$A$2:$A$61,0)),"")</f>
        <v/>
      </c>
      <c r="T46" t="str">
        <f t="shared" si="3"/>
        <v/>
      </c>
      <c r="U46" t="str">
        <f t="shared" si="4"/>
        <v/>
      </c>
      <c r="V46" t="str">
        <f t="shared" si="5"/>
        <v/>
      </c>
      <c r="W46" t="str">
        <f>IFERROR(INDEX('1.4 Turnos'!$B$2:$B$61,MATCH(J46,'1.4 Turnos'!$A$2:$A$61,0)),"")</f>
        <v/>
      </c>
      <c r="X46" t="str">
        <f>IFERROR(INDEX('4.1 Grupos Matricula'!$B$2:$B$61,MATCH(K46,'4.1 Grupos Matricula'!$A$2:$A$61,0)),"")</f>
        <v/>
      </c>
      <c r="Y46" t="str">
        <f>IFERROR(INDEX('1.6 Polos'!$B$2:$B$61,MATCH(L46,'1.6 Polos'!$A$2:$A$61,0)),"")</f>
        <v/>
      </c>
    </row>
    <row r="47" spans="14:25" x14ac:dyDescent="0.35">
      <c r="N47" t="str">
        <f>IFERROR(INDEX('3.2 Estudantes'!$D$2:$D$61,MATCH(A47,'3.2 Estudantes'!$A$2:$A$61,0)),"")</f>
        <v/>
      </c>
      <c r="O47" t="str">
        <f>IFERROR(INDEX('2.1 Cursos'!$B$2:$B$61,MATCH(B47,'2.1 Cursos'!$A$2:$A$61,0)),"")</f>
        <v/>
      </c>
      <c r="P47" t="str">
        <f>IFERROR(INDEX('2.4 Curriculos'!$C$2:$C$61,MATCH(C47,'2.4 Curriculos'!$B$2:$B$61,0)),"")</f>
        <v/>
      </c>
      <c r="Q47" t="str">
        <f>IFERROR(INDEX('2.3 Periodos'!$B$2:$B$61,MATCH(D47,'2.3 Periodos'!$A$2:$A$61,0)),"")</f>
        <v/>
      </c>
      <c r="R47" t="str">
        <f>IFERROR(INDEX('1.5 Campus'!$B$2:$B$61,MATCH(E47,'1.5 Campus'!$A$2:$A$61,0)),"")</f>
        <v/>
      </c>
      <c r="S47" t="str">
        <f>IFERROR(INDEX('1.7 Sit Matricula'!$B$2:$B$61,MATCH(F47,'1.7 Sit Matricula'!$A$2:$A$61,0)),"")</f>
        <v/>
      </c>
      <c r="T47" t="str">
        <f t="shared" si="3"/>
        <v/>
      </c>
      <c r="U47" t="str">
        <f t="shared" si="4"/>
        <v/>
      </c>
      <c r="V47" t="str">
        <f t="shared" si="5"/>
        <v/>
      </c>
      <c r="W47" t="str">
        <f>IFERROR(INDEX('1.4 Turnos'!$B$2:$B$61,MATCH(J47,'1.4 Turnos'!$A$2:$A$61,0)),"")</f>
        <v/>
      </c>
      <c r="X47" t="str">
        <f>IFERROR(INDEX('4.1 Grupos Matricula'!$B$2:$B$61,MATCH(K47,'4.1 Grupos Matricula'!$A$2:$A$61,0)),"")</f>
        <v/>
      </c>
      <c r="Y47" t="str">
        <f>IFERROR(INDEX('1.6 Polos'!$B$2:$B$61,MATCH(L47,'1.6 Polos'!$A$2:$A$61,0)),"")</f>
        <v/>
      </c>
    </row>
    <row r="48" spans="14:25" x14ac:dyDescent="0.35">
      <c r="N48" t="str">
        <f>IFERROR(INDEX('3.2 Estudantes'!$D$2:$D$61,MATCH(A48,'3.2 Estudantes'!$A$2:$A$61,0)),"")</f>
        <v/>
      </c>
      <c r="O48" t="str">
        <f>IFERROR(INDEX('2.1 Cursos'!$B$2:$B$61,MATCH(B48,'2.1 Cursos'!$A$2:$A$61,0)),"")</f>
        <v/>
      </c>
      <c r="P48" t="str">
        <f>IFERROR(INDEX('2.4 Curriculos'!$C$2:$C$61,MATCH(C48,'2.4 Curriculos'!$B$2:$B$61,0)),"")</f>
        <v/>
      </c>
      <c r="Q48" t="str">
        <f>IFERROR(INDEX('2.3 Periodos'!$B$2:$B$61,MATCH(D48,'2.3 Periodos'!$A$2:$A$61,0)),"")</f>
        <v/>
      </c>
      <c r="R48" t="str">
        <f>IFERROR(INDEX('1.5 Campus'!$B$2:$B$61,MATCH(E48,'1.5 Campus'!$A$2:$A$61,0)),"")</f>
        <v/>
      </c>
      <c r="S48" t="str">
        <f>IFERROR(INDEX('1.7 Sit Matricula'!$B$2:$B$61,MATCH(F48,'1.7 Sit Matricula'!$A$2:$A$61,0)),"")</f>
        <v/>
      </c>
      <c r="T48" t="str">
        <f t="shared" si="3"/>
        <v/>
      </c>
      <c r="U48" t="str">
        <f t="shared" si="4"/>
        <v/>
      </c>
      <c r="V48" t="str">
        <f t="shared" si="5"/>
        <v/>
      </c>
      <c r="W48" t="str">
        <f>IFERROR(INDEX('1.4 Turnos'!$B$2:$B$61,MATCH(J48,'1.4 Turnos'!$A$2:$A$61,0)),"")</f>
        <v/>
      </c>
      <c r="X48" t="str">
        <f>IFERROR(INDEX('4.1 Grupos Matricula'!$B$2:$B$61,MATCH(K48,'4.1 Grupos Matricula'!$A$2:$A$61,0)),"")</f>
        <v/>
      </c>
      <c r="Y48" t="str">
        <f>IFERROR(INDEX('1.6 Polos'!$B$2:$B$61,MATCH(L48,'1.6 Polos'!$A$2:$A$61,0)),"")</f>
        <v/>
      </c>
    </row>
    <row r="49" spans="14:25" x14ac:dyDescent="0.35">
      <c r="N49" t="str">
        <f>IFERROR(INDEX('3.2 Estudantes'!$D$2:$D$61,MATCH(A49,'3.2 Estudantes'!$A$2:$A$61,0)),"")</f>
        <v/>
      </c>
      <c r="O49" t="str">
        <f>IFERROR(INDEX('2.1 Cursos'!$B$2:$B$61,MATCH(B49,'2.1 Cursos'!$A$2:$A$61,0)),"")</f>
        <v/>
      </c>
      <c r="P49" t="str">
        <f>IFERROR(INDEX('2.4 Curriculos'!$C$2:$C$61,MATCH(C49,'2.4 Curriculos'!$B$2:$B$61,0)),"")</f>
        <v/>
      </c>
      <c r="Q49" t="str">
        <f>IFERROR(INDEX('2.3 Periodos'!$B$2:$B$61,MATCH(D49,'2.3 Periodos'!$A$2:$A$61,0)),"")</f>
        <v/>
      </c>
      <c r="R49" t="str">
        <f>IFERROR(INDEX('1.5 Campus'!$B$2:$B$61,MATCH(E49,'1.5 Campus'!$A$2:$A$61,0)),"")</f>
        <v/>
      </c>
      <c r="S49" t="str">
        <f>IFERROR(INDEX('1.7 Sit Matricula'!$B$2:$B$61,MATCH(F49,'1.7 Sit Matricula'!$A$2:$A$61,0)),"")</f>
        <v/>
      </c>
      <c r="T49" t="str">
        <f t="shared" si="3"/>
        <v/>
      </c>
      <c r="U49" t="str">
        <f t="shared" si="4"/>
        <v/>
      </c>
      <c r="V49" t="str">
        <f t="shared" si="5"/>
        <v/>
      </c>
      <c r="W49" t="str">
        <f>IFERROR(INDEX('1.4 Turnos'!$B$2:$B$61,MATCH(J49,'1.4 Turnos'!$A$2:$A$61,0)),"")</f>
        <v/>
      </c>
      <c r="X49" t="str">
        <f>IFERROR(INDEX('4.1 Grupos Matricula'!$B$2:$B$61,MATCH(K49,'4.1 Grupos Matricula'!$A$2:$A$61,0)),"")</f>
        <v/>
      </c>
      <c r="Y49" t="str">
        <f>IFERROR(INDEX('1.6 Polos'!$B$2:$B$61,MATCH(L49,'1.6 Polos'!$A$2:$A$61,0)),"")</f>
        <v/>
      </c>
    </row>
    <row r="50" spans="14:25" x14ac:dyDescent="0.35">
      <c r="N50" t="str">
        <f>IFERROR(INDEX('3.2 Estudantes'!$D$2:$D$61,MATCH(A50,'3.2 Estudantes'!$A$2:$A$61,0)),"")</f>
        <v/>
      </c>
      <c r="O50" t="str">
        <f>IFERROR(INDEX('2.1 Cursos'!$B$2:$B$61,MATCH(B50,'2.1 Cursos'!$A$2:$A$61,0)),"")</f>
        <v/>
      </c>
      <c r="P50" t="str">
        <f>IFERROR(INDEX('2.4 Curriculos'!$C$2:$C$61,MATCH(C50,'2.4 Curriculos'!$B$2:$B$61,0)),"")</f>
        <v/>
      </c>
      <c r="Q50" t="str">
        <f>IFERROR(INDEX('2.3 Periodos'!$B$2:$B$61,MATCH(D50,'2.3 Periodos'!$A$2:$A$61,0)),"")</f>
        <v/>
      </c>
      <c r="R50" t="str">
        <f>IFERROR(INDEX('1.5 Campus'!$B$2:$B$61,MATCH(E50,'1.5 Campus'!$A$2:$A$61,0)),"")</f>
        <v/>
      </c>
      <c r="S50" t="str">
        <f>IFERROR(INDEX('1.7 Sit Matricula'!$B$2:$B$61,MATCH(F50,'1.7 Sit Matricula'!$A$2:$A$61,0)),"")</f>
        <v/>
      </c>
      <c r="T50" t="str">
        <f t="shared" si="3"/>
        <v/>
      </c>
      <c r="U50" t="str">
        <f t="shared" si="4"/>
        <v/>
      </c>
      <c r="V50" t="str">
        <f t="shared" si="5"/>
        <v/>
      </c>
      <c r="W50" t="str">
        <f>IFERROR(INDEX('1.4 Turnos'!$B$2:$B$61,MATCH(J50,'1.4 Turnos'!$A$2:$A$61,0)),"")</f>
        <v/>
      </c>
      <c r="X50" t="str">
        <f>IFERROR(INDEX('4.1 Grupos Matricula'!$B$2:$B$61,MATCH(K50,'4.1 Grupos Matricula'!$A$2:$A$61,0)),"")</f>
        <v/>
      </c>
      <c r="Y50" t="str">
        <f>IFERROR(INDEX('1.6 Polos'!$B$2:$B$61,MATCH(L50,'1.6 Polos'!$A$2:$A$61,0)),"")</f>
        <v/>
      </c>
    </row>
    <row r="51" spans="14:25" x14ac:dyDescent="0.35">
      <c r="N51" t="str">
        <f>IFERROR(INDEX('3.2 Estudantes'!$D$2:$D$61,MATCH(A51,'3.2 Estudantes'!$A$2:$A$61,0)),"")</f>
        <v/>
      </c>
      <c r="O51" t="str">
        <f>IFERROR(INDEX('2.1 Cursos'!$B$2:$B$61,MATCH(B51,'2.1 Cursos'!$A$2:$A$61,0)),"")</f>
        <v/>
      </c>
      <c r="P51" t="str">
        <f>IFERROR(INDEX('2.4 Curriculos'!$C$2:$C$61,MATCH(C51,'2.4 Curriculos'!$B$2:$B$61,0)),"")</f>
        <v/>
      </c>
      <c r="Q51" t="str">
        <f>IFERROR(INDEX('2.3 Periodos'!$B$2:$B$61,MATCH(D51,'2.3 Periodos'!$A$2:$A$61,0)),"")</f>
        <v/>
      </c>
      <c r="R51" t="str">
        <f>IFERROR(INDEX('1.5 Campus'!$B$2:$B$61,MATCH(E51,'1.5 Campus'!$A$2:$A$61,0)),"")</f>
        <v/>
      </c>
      <c r="S51" t="str">
        <f>IFERROR(INDEX('1.7 Sit Matricula'!$B$2:$B$61,MATCH(F51,'1.7 Sit Matricula'!$A$2:$A$61,0)),"")</f>
        <v/>
      </c>
      <c r="T51" t="str">
        <f t="shared" si="3"/>
        <v/>
      </c>
      <c r="U51" t="str">
        <f t="shared" si="4"/>
        <v/>
      </c>
      <c r="V51" t="str">
        <f t="shared" si="5"/>
        <v/>
      </c>
      <c r="W51" t="str">
        <f>IFERROR(INDEX('1.4 Turnos'!$B$2:$B$61,MATCH(J51,'1.4 Turnos'!$A$2:$A$61,0)),"")</f>
        <v/>
      </c>
      <c r="X51" t="str">
        <f>IFERROR(INDEX('4.1 Grupos Matricula'!$B$2:$B$61,MATCH(K51,'4.1 Grupos Matricula'!$A$2:$A$61,0)),"")</f>
        <v/>
      </c>
      <c r="Y51" t="str">
        <f>IFERROR(INDEX('1.6 Polos'!$B$2:$B$61,MATCH(L51,'1.6 Polos'!$A$2:$A$61,0)),"")</f>
        <v/>
      </c>
    </row>
    <row r="52" spans="14:25" x14ac:dyDescent="0.35">
      <c r="N52" t="str">
        <f>IFERROR(INDEX('3.2 Estudantes'!$D$2:$D$61,MATCH(A52,'3.2 Estudantes'!$A$2:$A$61,0)),"")</f>
        <v/>
      </c>
      <c r="O52" t="str">
        <f>IFERROR(INDEX('2.1 Cursos'!$B$2:$B$61,MATCH(B52,'2.1 Cursos'!$A$2:$A$61,0)),"")</f>
        <v/>
      </c>
      <c r="P52" t="str">
        <f>IFERROR(INDEX('2.4 Curriculos'!$C$2:$C$61,MATCH(C52,'2.4 Curriculos'!$B$2:$B$61,0)),"")</f>
        <v/>
      </c>
      <c r="Q52" t="str">
        <f>IFERROR(INDEX('2.3 Periodos'!$B$2:$B$61,MATCH(D52,'2.3 Periodos'!$A$2:$A$61,0)),"")</f>
        <v/>
      </c>
      <c r="R52" t="str">
        <f>IFERROR(INDEX('1.5 Campus'!$B$2:$B$61,MATCH(E52,'1.5 Campus'!$A$2:$A$61,0)),"")</f>
        <v/>
      </c>
      <c r="S52" t="str">
        <f>IFERROR(INDEX('1.7 Sit Matricula'!$B$2:$B$61,MATCH(F52,'1.7 Sit Matricula'!$A$2:$A$61,0)),"")</f>
        <v/>
      </c>
      <c r="T52" t="str">
        <f t="shared" si="3"/>
        <v/>
      </c>
      <c r="U52" t="str">
        <f t="shared" si="4"/>
        <v/>
      </c>
      <c r="V52" t="str">
        <f t="shared" si="5"/>
        <v/>
      </c>
      <c r="W52" t="str">
        <f>IFERROR(INDEX('1.4 Turnos'!$B$2:$B$61,MATCH(J52,'1.4 Turnos'!$A$2:$A$61,0)),"")</f>
        <v/>
      </c>
      <c r="X52" t="str">
        <f>IFERROR(INDEX('4.1 Grupos Matricula'!$B$2:$B$61,MATCH(K52,'4.1 Grupos Matricula'!$A$2:$A$61,0)),"")</f>
        <v/>
      </c>
      <c r="Y52" t="str">
        <f>IFERROR(INDEX('1.6 Polos'!$B$2:$B$61,MATCH(L52,'1.6 Polos'!$A$2:$A$61,0)),"")</f>
        <v/>
      </c>
    </row>
    <row r="53" spans="14:25" x14ac:dyDescent="0.35">
      <c r="N53" t="str">
        <f>IFERROR(INDEX('3.2 Estudantes'!$D$2:$D$61,MATCH(A53,'3.2 Estudantes'!$A$2:$A$61,0)),"")</f>
        <v/>
      </c>
      <c r="O53" t="str">
        <f>IFERROR(INDEX('2.1 Cursos'!$B$2:$B$61,MATCH(B53,'2.1 Cursos'!$A$2:$A$61,0)),"")</f>
        <v/>
      </c>
      <c r="P53" t="str">
        <f>IFERROR(INDEX('2.4 Curriculos'!$C$2:$C$61,MATCH(C53,'2.4 Curriculos'!$B$2:$B$61,0)),"")</f>
        <v/>
      </c>
      <c r="Q53" t="str">
        <f>IFERROR(INDEX('2.3 Periodos'!$B$2:$B$61,MATCH(D53,'2.3 Periodos'!$A$2:$A$61,0)),"")</f>
        <v/>
      </c>
      <c r="R53" t="str">
        <f>IFERROR(INDEX('1.5 Campus'!$B$2:$B$61,MATCH(E53,'1.5 Campus'!$A$2:$A$61,0)),"")</f>
        <v/>
      </c>
      <c r="S53" t="str">
        <f>IFERROR(INDEX('1.7 Sit Matricula'!$B$2:$B$61,MATCH(F53,'1.7 Sit Matricula'!$A$2:$A$61,0)),"")</f>
        <v/>
      </c>
      <c r="T53" t="str">
        <f t="shared" si="3"/>
        <v/>
      </c>
      <c r="U53" t="str">
        <f t="shared" si="4"/>
        <v/>
      </c>
      <c r="V53" t="str">
        <f t="shared" si="5"/>
        <v/>
      </c>
      <c r="W53" t="str">
        <f>IFERROR(INDEX('1.4 Turnos'!$B$2:$B$61,MATCH(J53,'1.4 Turnos'!$A$2:$A$61,0)),"")</f>
        <v/>
      </c>
      <c r="X53" t="str">
        <f>IFERROR(INDEX('4.1 Grupos Matricula'!$B$2:$B$61,MATCH(K53,'4.1 Grupos Matricula'!$A$2:$A$61,0)),"")</f>
        <v/>
      </c>
      <c r="Y53" t="str">
        <f>IFERROR(INDEX('1.6 Polos'!$B$2:$B$61,MATCH(L53,'1.6 Polos'!$A$2:$A$61,0)),"")</f>
        <v/>
      </c>
    </row>
    <row r="54" spans="14:25" x14ac:dyDescent="0.35">
      <c r="N54" t="str">
        <f>IFERROR(INDEX('3.2 Estudantes'!$D$2:$D$61,MATCH(A54,'3.2 Estudantes'!$A$2:$A$61,0)),"")</f>
        <v/>
      </c>
      <c r="O54" t="str">
        <f>IFERROR(INDEX('2.1 Cursos'!$B$2:$B$61,MATCH(B54,'2.1 Cursos'!$A$2:$A$61,0)),"")</f>
        <v/>
      </c>
      <c r="P54" t="str">
        <f>IFERROR(INDEX('2.4 Curriculos'!$C$2:$C$61,MATCH(C54,'2.4 Curriculos'!$B$2:$B$61,0)),"")</f>
        <v/>
      </c>
      <c r="Q54" t="str">
        <f>IFERROR(INDEX('2.3 Periodos'!$B$2:$B$61,MATCH(D54,'2.3 Periodos'!$A$2:$A$61,0)),"")</f>
        <v/>
      </c>
      <c r="R54" t="str">
        <f>IFERROR(INDEX('1.5 Campus'!$B$2:$B$61,MATCH(E54,'1.5 Campus'!$A$2:$A$61,0)),"")</f>
        <v/>
      </c>
      <c r="S54" t="str">
        <f>IFERROR(INDEX('1.7 Sit Matricula'!$B$2:$B$61,MATCH(F54,'1.7 Sit Matricula'!$A$2:$A$61,0)),"")</f>
        <v/>
      </c>
      <c r="T54" t="str">
        <f t="shared" si="3"/>
        <v/>
      </c>
      <c r="U54" t="str">
        <f t="shared" si="4"/>
        <v/>
      </c>
      <c r="V54" t="str">
        <f t="shared" si="5"/>
        <v/>
      </c>
      <c r="W54" t="str">
        <f>IFERROR(INDEX('1.4 Turnos'!$B$2:$B$61,MATCH(J54,'1.4 Turnos'!$A$2:$A$61,0)),"")</f>
        <v/>
      </c>
      <c r="X54" t="str">
        <f>IFERROR(INDEX('4.1 Grupos Matricula'!$B$2:$B$61,MATCH(K54,'4.1 Grupos Matricula'!$A$2:$A$61,0)),"")</f>
        <v/>
      </c>
      <c r="Y54" t="str">
        <f>IFERROR(INDEX('1.6 Polos'!$B$2:$B$61,MATCH(L54,'1.6 Polos'!$A$2:$A$61,0)),"")</f>
        <v/>
      </c>
    </row>
    <row r="55" spans="14:25" x14ac:dyDescent="0.35">
      <c r="N55" t="str">
        <f>IFERROR(INDEX('3.2 Estudantes'!$D$2:$D$61,MATCH(A55,'3.2 Estudantes'!$A$2:$A$61,0)),"")</f>
        <v/>
      </c>
      <c r="O55" t="str">
        <f>IFERROR(INDEX('2.1 Cursos'!$B$2:$B$61,MATCH(B55,'2.1 Cursos'!$A$2:$A$61,0)),"")</f>
        <v/>
      </c>
      <c r="P55" t="str">
        <f>IFERROR(INDEX('2.4 Curriculos'!$C$2:$C$61,MATCH(C55,'2.4 Curriculos'!$B$2:$B$61,0)),"")</f>
        <v/>
      </c>
      <c r="Q55" t="str">
        <f>IFERROR(INDEX('2.3 Periodos'!$B$2:$B$61,MATCH(D55,'2.3 Periodos'!$A$2:$A$61,0)),"")</f>
        <v/>
      </c>
      <c r="R55" t="str">
        <f>IFERROR(INDEX('1.5 Campus'!$B$2:$B$61,MATCH(E55,'1.5 Campus'!$A$2:$A$61,0)),"")</f>
        <v/>
      </c>
      <c r="S55" t="str">
        <f>IFERROR(INDEX('1.7 Sit Matricula'!$B$2:$B$61,MATCH(F55,'1.7 Sit Matricula'!$A$2:$A$61,0)),"")</f>
        <v/>
      </c>
      <c r="T55" t="str">
        <f t="shared" si="3"/>
        <v/>
      </c>
      <c r="U55" t="str">
        <f t="shared" si="4"/>
        <v/>
      </c>
      <c r="V55" t="str">
        <f t="shared" si="5"/>
        <v/>
      </c>
      <c r="W55" t="str">
        <f>IFERROR(INDEX('1.4 Turnos'!$B$2:$B$61,MATCH(J55,'1.4 Turnos'!$A$2:$A$61,0)),"")</f>
        <v/>
      </c>
      <c r="X55" t="str">
        <f>IFERROR(INDEX('4.1 Grupos Matricula'!$B$2:$B$61,MATCH(K55,'4.1 Grupos Matricula'!$A$2:$A$61,0)),"")</f>
        <v/>
      </c>
      <c r="Y55" t="str">
        <f>IFERROR(INDEX('1.6 Polos'!$B$2:$B$61,MATCH(L55,'1.6 Polos'!$A$2:$A$61,0)),"")</f>
        <v/>
      </c>
    </row>
    <row r="56" spans="14:25" x14ac:dyDescent="0.35">
      <c r="N56" t="str">
        <f>IFERROR(INDEX('3.2 Estudantes'!$D$2:$D$61,MATCH(A56,'3.2 Estudantes'!$A$2:$A$61,0)),"")</f>
        <v/>
      </c>
      <c r="O56" t="str">
        <f>IFERROR(INDEX('2.1 Cursos'!$B$2:$B$61,MATCH(B56,'2.1 Cursos'!$A$2:$A$61,0)),"")</f>
        <v/>
      </c>
      <c r="P56" t="str">
        <f>IFERROR(INDEX('2.4 Curriculos'!$C$2:$C$61,MATCH(C56,'2.4 Curriculos'!$B$2:$B$61,0)),"")</f>
        <v/>
      </c>
      <c r="Q56" t="str">
        <f>IFERROR(INDEX('2.3 Periodos'!$B$2:$B$61,MATCH(D56,'2.3 Periodos'!$A$2:$A$61,0)),"")</f>
        <v/>
      </c>
      <c r="R56" t="str">
        <f>IFERROR(INDEX('1.5 Campus'!$B$2:$B$61,MATCH(E56,'1.5 Campus'!$A$2:$A$61,0)),"")</f>
        <v/>
      </c>
      <c r="S56" t="str">
        <f>IFERROR(INDEX('1.7 Sit Matricula'!$B$2:$B$61,MATCH(F56,'1.7 Sit Matricula'!$A$2:$A$61,0)),"")</f>
        <v/>
      </c>
      <c r="T56" t="str">
        <f t="shared" si="3"/>
        <v/>
      </c>
      <c r="U56" t="str">
        <f t="shared" si="4"/>
        <v/>
      </c>
      <c r="V56" t="str">
        <f t="shared" si="5"/>
        <v/>
      </c>
      <c r="W56" t="str">
        <f>IFERROR(INDEX('1.4 Turnos'!$B$2:$B$61,MATCH(J56,'1.4 Turnos'!$A$2:$A$61,0)),"")</f>
        <v/>
      </c>
      <c r="X56" t="str">
        <f>IFERROR(INDEX('4.1 Grupos Matricula'!$B$2:$B$61,MATCH(K56,'4.1 Grupos Matricula'!$A$2:$A$61,0)),"")</f>
        <v/>
      </c>
      <c r="Y56" t="str">
        <f>IFERROR(INDEX('1.6 Polos'!$B$2:$B$61,MATCH(L56,'1.6 Polos'!$A$2:$A$61,0)),"")</f>
        <v/>
      </c>
    </row>
    <row r="57" spans="14:25" x14ac:dyDescent="0.35">
      <c r="N57" t="str">
        <f>IFERROR(INDEX('3.2 Estudantes'!$D$2:$D$61,MATCH(A57,'3.2 Estudantes'!$A$2:$A$61,0)),"")</f>
        <v/>
      </c>
      <c r="O57" t="str">
        <f>IFERROR(INDEX('2.1 Cursos'!$B$2:$B$61,MATCH(B57,'2.1 Cursos'!$A$2:$A$61,0)),"")</f>
        <v/>
      </c>
      <c r="P57" t="str">
        <f>IFERROR(INDEX('2.4 Curriculos'!$C$2:$C$61,MATCH(C57,'2.4 Curriculos'!$B$2:$B$61,0)),"")</f>
        <v/>
      </c>
      <c r="Q57" t="str">
        <f>IFERROR(INDEX('2.3 Periodos'!$B$2:$B$61,MATCH(D57,'2.3 Periodos'!$A$2:$A$61,0)),"")</f>
        <v/>
      </c>
      <c r="R57" t="str">
        <f>IFERROR(INDEX('1.5 Campus'!$B$2:$B$61,MATCH(E57,'1.5 Campus'!$A$2:$A$61,0)),"")</f>
        <v/>
      </c>
      <c r="S57" t="str">
        <f>IFERROR(INDEX('1.7 Sit Matricula'!$B$2:$B$61,MATCH(F57,'1.7 Sit Matricula'!$A$2:$A$61,0)),"")</f>
        <v/>
      </c>
      <c r="T57" t="str">
        <f t="shared" si="3"/>
        <v/>
      </c>
      <c r="U57" t="str">
        <f t="shared" si="4"/>
        <v/>
      </c>
      <c r="V57" t="str">
        <f t="shared" si="5"/>
        <v/>
      </c>
      <c r="W57" t="str">
        <f>IFERROR(INDEX('1.4 Turnos'!$B$2:$B$61,MATCH(J57,'1.4 Turnos'!$A$2:$A$61,0)),"")</f>
        <v/>
      </c>
      <c r="X57" t="str">
        <f>IFERROR(INDEX('4.1 Grupos Matricula'!$B$2:$B$61,MATCH(K57,'4.1 Grupos Matricula'!$A$2:$A$61,0)),"")</f>
        <v/>
      </c>
      <c r="Y57" t="str">
        <f>IFERROR(INDEX('1.6 Polos'!$B$2:$B$61,MATCH(L57,'1.6 Polos'!$A$2:$A$61,0)),"")</f>
        <v/>
      </c>
    </row>
    <row r="58" spans="14:25" x14ac:dyDescent="0.35">
      <c r="N58" t="str">
        <f>IFERROR(INDEX('3.2 Estudantes'!$D$2:$D$61,MATCH(A58,'3.2 Estudantes'!$A$2:$A$61,0)),"")</f>
        <v/>
      </c>
      <c r="O58" t="str">
        <f>IFERROR(INDEX('2.1 Cursos'!$B$2:$B$61,MATCH(B58,'2.1 Cursos'!$A$2:$A$61,0)),"")</f>
        <v/>
      </c>
      <c r="P58" t="str">
        <f>IFERROR(INDEX('2.4 Curriculos'!$C$2:$C$61,MATCH(C58,'2.4 Curriculos'!$B$2:$B$61,0)),"")</f>
        <v/>
      </c>
      <c r="Q58" t="str">
        <f>IFERROR(INDEX('2.3 Periodos'!$B$2:$B$61,MATCH(D58,'2.3 Periodos'!$A$2:$A$61,0)),"")</f>
        <v/>
      </c>
      <c r="R58" t="str">
        <f>IFERROR(INDEX('1.5 Campus'!$B$2:$B$61,MATCH(E58,'1.5 Campus'!$A$2:$A$61,0)),"")</f>
        <v/>
      </c>
      <c r="S58" t="str">
        <f>IFERROR(INDEX('1.7 Sit Matricula'!$B$2:$B$61,MATCH(F58,'1.7 Sit Matricula'!$A$2:$A$61,0)),"")</f>
        <v/>
      </c>
      <c r="T58" t="str">
        <f t="shared" si="3"/>
        <v/>
      </c>
      <c r="U58" t="str">
        <f t="shared" si="4"/>
        <v/>
      </c>
      <c r="V58" t="str">
        <f t="shared" si="5"/>
        <v/>
      </c>
      <c r="W58" t="str">
        <f>IFERROR(INDEX('1.4 Turnos'!$B$2:$B$61,MATCH(J58,'1.4 Turnos'!$A$2:$A$61,0)),"")</f>
        <v/>
      </c>
      <c r="X58" t="str">
        <f>IFERROR(INDEX('4.1 Grupos Matricula'!$B$2:$B$61,MATCH(K58,'4.1 Grupos Matricula'!$A$2:$A$61,0)),"")</f>
        <v/>
      </c>
      <c r="Y58" t="str">
        <f>IFERROR(INDEX('1.6 Polos'!$B$2:$B$61,MATCH(L58,'1.6 Polos'!$A$2:$A$61,0)),"")</f>
        <v/>
      </c>
    </row>
    <row r="59" spans="14:25" x14ac:dyDescent="0.35">
      <c r="N59" t="str">
        <f>IFERROR(INDEX('3.2 Estudantes'!$D$2:$D$61,MATCH(A59,'3.2 Estudantes'!$A$2:$A$61,0)),"")</f>
        <v/>
      </c>
      <c r="O59" t="str">
        <f>IFERROR(INDEX('2.1 Cursos'!$B$2:$B$61,MATCH(B59,'2.1 Cursos'!$A$2:$A$61,0)),"")</f>
        <v/>
      </c>
      <c r="P59" t="str">
        <f>IFERROR(INDEX('2.4 Curriculos'!$C$2:$C$61,MATCH(C59,'2.4 Curriculos'!$B$2:$B$61,0)),"")</f>
        <v/>
      </c>
      <c r="Q59" t="str">
        <f>IFERROR(INDEX('2.3 Periodos'!$B$2:$B$61,MATCH(D59,'2.3 Periodos'!$A$2:$A$61,0)),"")</f>
        <v/>
      </c>
      <c r="R59" t="str">
        <f>IFERROR(INDEX('1.5 Campus'!$B$2:$B$61,MATCH(E59,'1.5 Campus'!$A$2:$A$61,0)),"")</f>
        <v/>
      </c>
      <c r="S59" t="str">
        <f>IFERROR(INDEX('1.7 Sit Matricula'!$B$2:$B$61,MATCH(F59,'1.7 Sit Matricula'!$A$2:$A$61,0)),"")</f>
        <v/>
      </c>
      <c r="T59" t="str">
        <f t="shared" si="3"/>
        <v/>
      </c>
      <c r="U59" t="str">
        <f t="shared" si="4"/>
        <v/>
      </c>
      <c r="V59" t="str">
        <f t="shared" si="5"/>
        <v/>
      </c>
      <c r="W59" t="str">
        <f>IFERROR(INDEX('1.4 Turnos'!$B$2:$B$61,MATCH(J59,'1.4 Turnos'!$A$2:$A$61,0)),"")</f>
        <v/>
      </c>
      <c r="X59" t="str">
        <f>IFERROR(INDEX('4.1 Grupos Matricula'!$B$2:$B$61,MATCH(K59,'4.1 Grupos Matricula'!$A$2:$A$61,0)),"")</f>
        <v/>
      </c>
      <c r="Y59" t="str">
        <f>IFERROR(INDEX('1.6 Polos'!$B$2:$B$61,MATCH(L59,'1.6 Polos'!$A$2:$A$61,0)),"")</f>
        <v/>
      </c>
    </row>
    <row r="60" spans="14:25" x14ac:dyDescent="0.35">
      <c r="N60" t="str">
        <f>IFERROR(INDEX('3.2 Estudantes'!$D$2:$D$61,MATCH(A60,'3.2 Estudantes'!$A$2:$A$61,0)),"")</f>
        <v/>
      </c>
      <c r="O60" t="str">
        <f>IFERROR(INDEX('2.1 Cursos'!$B$2:$B$61,MATCH(B60,'2.1 Cursos'!$A$2:$A$61,0)),"")</f>
        <v/>
      </c>
      <c r="P60" t="str">
        <f>IFERROR(INDEX('2.4 Curriculos'!$C$2:$C$61,MATCH(C60,'2.4 Curriculos'!$B$2:$B$61,0)),"")</f>
        <v/>
      </c>
      <c r="Q60" t="str">
        <f>IFERROR(INDEX('2.3 Periodos'!$B$2:$B$61,MATCH(D60,'2.3 Periodos'!$A$2:$A$61,0)),"")</f>
        <v/>
      </c>
      <c r="R60" t="str">
        <f>IFERROR(INDEX('1.5 Campus'!$B$2:$B$61,MATCH(E60,'1.5 Campus'!$A$2:$A$61,0)),"")</f>
        <v/>
      </c>
      <c r="S60" t="str">
        <f>IFERROR(INDEX('1.7 Sit Matricula'!$B$2:$B$61,MATCH(F60,'1.7 Sit Matricula'!$A$2:$A$61,0)),"")</f>
        <v/>
      </c>
      <c r="T60" t="str">
        <f t="shared" si="3"/>
        <v/>
      </c>
      <c r="U60" t="str">
        <f t="shared" si="4"/>
        <v/>
      </c>
      <c r="V60" t="str">
        <f t="shared" si="5"/>
        <v/>
      </c>
      <c r="W60" t="str">
        <f>IFERROR(INDEX('1.4 Turnos'!$B$2:$B$61,MATCH(J60,'1.4 Turnos'!$A$2:$A$61,0)),"")</f>
        <v/>
      </c>
      <c r="X60" t="str">
        <f>IFERROR(INDEX('4.1 Grupos Matricula'!$B$2:$B$61,MATCH(K60,'4.1 Grupos Matricula'!$A$2:$A$61,0)),"")</f>
        <v/>
      </c>
      <c r="Y60" t="str">
        <f>IFERROR(INDEX('1.6 Polos'!$B$2:$B$61,MATCH(L60,'1.6 Polos'!$A$2:$A$61,0)),"")</f>
        <v/>
      </c>
    </row>
    <row r="61" spans="14:25" x14ac:dyDescent="0.35">
      <c r="N61" t="str">
        <f>IFERROR(INDEX('3.2 Estudantes'!$D$2:$D$61,MATCH(A61,'3.2 Estudantes'!$A$2:$A$61,0)),"")</f>
        <v/>
      </c>
      <c r="O61" t="str">
        <f>IFERROR(INDEX('2.1 Cursos'!$B$2:$B$61,MATCH(B61,'2.1 Cursos'!$A$2:$A$61,0)),"")</f>
        <v/>
      </c>
      <c r="P61" t="str">
        <f>IFERROR(INDEX('2.4 Curriculos'!$C$2:$C$61,MATCH(C61,'2.4 Curriculos'!$B$2:$B$61,0)),"")</f>
        <v/>
      </c>
      <c r="Q61" t="str">
        <f>IFERROR(INDEX('2.3 Periodos'!$B$2:$B$61,MATCH(D61,'2.3 Periodos'!$A$2:$A$61,0)),"")</f>
        <v/>
      </c>
      <c r="R61" t="str">
        <f>IFERROR(INDEX('1.5 Campus'!$B$2:$B$61,MATCH(E61,'1.5 Campus'!$A$2:$A$61,0)),"")</f>
        <v/>
      </c>
      <c r="S61" t="str">
        <f>IFERROR(INDEX('1.7 Sit Matricula'!$B$2:$B$61,MATCH(F61,'1.7 Sit Matricula'!$A$2:$A$61,0)),"")</f>
        <v/>
      </c>
      <c r="T61" t="str">
        <f t="shared" si="3"/>
        <v/>
      </c>
      <c r="U61" t="str">
        <f t="shared" si="4"/>
        <v/>
      </c>
      <c r="V61" t="str">
        <f t="shared" si="5"/>
        <v/>
      </c>
      <c r="W61" t="str">
        <f>IFERROR(INDEX('1.4 Turnos'!$B$2:$B$61,MATCH(J61,'1.4 Turnos'!$A$2:$A$61,0)),"")</f>
        <v/>
      </c>
      <c r="X61" t="str">
        <f>IFERROR(INDEX('4.1 Grupos Matricula'!$B$2:$B$61,MATCH(K61,'4.1 Grupos Matricula'!$A$2:$A$61,0)),"")</f>
        <v/>
      </c>
      <c r="Y61" t="str">
        <f>IFERROR(INDEX('1.6 Polos'!$B$2:$B$61,MATCH(L61,'1.6 Polos'!$A$2:$A$61,0)),"")</f>
        <v/>
      </c>
    </row>
  </sheetData>
  <autoFilter ref="A1:L1"/>
  <conditionalFormatting sqref="A3:A61">
    <cfRule type="expression" dxfId="26" priority="2">
      <formula>AND($A3="",COUNTA($A3:$L3)&gt;0)</formula>
    </cfRule>
  </conditionalFormatting>
  <conditionalFormatting sqref="B3:B61">
    <cfRule type="expression" dxfId="25" priority="3">
      <formula>AND($B3="",COUNTA($A3:$L3)&gt;0)</formula>
    </cfRule>
  </conditionalFormatting>
  <conditionalFormatting sqref="C3:C61">
    <cfRule type="expression" dxfId="24" priority="4">
      <formula>AND($C3="",COUNTA($A3:$L3)&gt;0)</formula>
    </cfRule>
  </conditionalFormatting>
  <conditionalFormatting sqref="D3:D61">
    <cfRule type="expression" dxfId="23" priority="5">
      <formula>AND($D3="",COUNTA($A3:$L3)&gt;0)</formula>
    </cfRule>
  </conditionalFormatting>
  <conditionalFormatting sqref="F3:F61">
    <cfRule type="expression" dxfId="22" priority="6">
      <formula>AND($F3="",COUNTA($A3:$L3)&gt;0)</formula>
    </cfRule>
  </conditionalFormatting>
  <conditionalFormatting sqref="G3:G61">
    <cfRule type="expression" dxfId="21" priority="7">
      <formula>AND($G3="",COUNTA($A3:$L3)&gt;0)</formula>
    </cfRule>
  </conditionalFormatting>
  <conditionalFormatting sqref="H3:H61">
    <cfRule type="expression" dxfId="20" priority="8">
      <formula>AND($H3="",COUNTA($A3:$L3)&gt;0)</formula>
    </cfRule>
  </conditionalFormatting>
  <dataValidations count="3">
    <dataValidation type="textLength" operator="lessThanOrEqual" allowBlank="1" errorTitle="Texto muito longo" error="Máximo de 50 caracteres" sqref="H2:H61">
      <formula1>50</formula1>
      <formula2>0</formula2>
    </dataValidation>
    <dataValidation type="textLength" operator="lessThanOrEqual" allowBlank="1" errorTitle="Texto muito longo" error="Máximo de 100 caracteres" sqref="G2:G61">
      <formula1>100</formula1>
      <formula2>0</formula2>
    </dataValidation>
    <dataValidation type="decimal" operator="greaterThanOrEqual" allowBlank="1" error="Informe um número" sqref="I2:I61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>
          <x14:formula1>
            <xm:f>'3.2 Estudantes'!$A$2:$A$61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'2.1 Cursos'!$A$2:$A$61</xm:f>
          </x14:formula1>
          <x14:formula2>
            <xm:f>0</xm:f>
          </x14:formula2>
          <xm:sqref>B2:B61</xm:sqref>
        </x14:dataValidation>
        <x14:dataValidation type="list" allowBlank="1">
          <x14:formula1>
            <xm:f>'2.4 Curriculos'!$B$2:$B$61</xm:f>
          </x14:formula1>
          <x14:formula2>
            <xm:f>0</xm:f>
          </x14:formula2>
          <xm:sqref>C2:C61</xm:sqref>
        </x14:dataValidation>
        <x14:dataValidation type="list" allowBlank="1">
          <x14:formula1>
            <xm:f>'2.3 Periodos'!$A$2:$A$61</xm:f>
          </x14:formula1>
          <x14:formula2>
            <xm:f>0</xm:f>
          </x14:formula2>
          <xm:sqref>D2:D61</xm:sqref>
        </x14:dataValidation>
        <x14:dataValidation type="list" allowBlank="1">
          <x14:formula1>
            <xm:f>'1.5 Campus'!$A$2:$A$61</xm:f>
          </x14:formula1>
          <x14:formula2>
            <xm:f>0</xm:f>
          </x14:formula2>
          <xm:sqref>E2:E61</xm:sqref>
        </x14:dataValidation>
        <x14:dataValidation type="list" allowBlank="1">
          <x14:formula1>
            <xm:f>'1.7 Sit Matricula'!$A$2:$A$61</xm:f>
          </x14:formula1>
          <x14:formula2>
            <xm:f>0</xm:f>
          </x14:formula2>
          <xm:sqref>F2:F61</xm:sqref>
        </x14:dataValidation>
        <x14:dataValidation type="list" allowBlank="1">
          <x14:formula1>
            <xm:f>'1.4 Turnos'!$A$2:$A$61</xm:f>
          </x14:formula1>
          <x14:formula2>
            <xm:f>0</xm:f>
          </x14:formula2>
          <xm:sqref>J2:J61</xm:sqref>
        </x14:dataValidation>
        <x14:dataValidation type="list" allowBlank="1">
          <x14:formula1>
            <xm:f>'4.1 Grupos Matricula'!$A$2:$A$61</xm:f>
          </x14:formula1>
          <x14:formula2>
            <xm:f>0</xm:f>
          </x14:formula2>
          <xm:sqref>K2:K61</xm:sqref>
        </x14:dataValidation>
        <x14:dataValidation type="list" allowBlank="1">
          <x14:formula1>
            <xm:f>'1.6 Polos'!$A$2:$A$61</xm:f>
          </x14:formula1>
          <x14:formula2>
            <xm:f>0</xm:f>
          </x14:formula2>
          <xm:sqref>L2:L61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B2C6F"/>
  </sheetPr>
  <dimension ref="A1:K61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20" customWidth="1"/>
    <col min="4" max="4" width="24" customWidth="1"/>
    <col min="5" max="5" width="12" customWidth="1"/>
    <col min="7" max="11" width="16" hidden="1" customWidth="1"/>
  </cols>
  <sheetData>
    <row r="1" spans="1:11" ht="31.5" customHeight="1" x14ac:dyDescent="0.35">
      <c r="A1" s="17" t="s">
        <v>209</v>
      </c>
      <c r="B1" s="17" t="s">
        <v>193</v>
      </c>
      <c r="C1" s="17" t="s">
        <v>195</v>
      </c>
      <c r="D1" s="17" t="s">
        <v>198</v>
      </c>
      <c r="E1" s="17" t="s">
        <v>197</v>
      </c>
      <c r="G1" s="10" t="s">
        <v>210</v>
      </c>
      <c r="H1" s="10" t="s">
        <v>170</v>
      </c>
      <c r="I1" s="10" t="s">
        <v>202</v>
      </c>
      <c r="J1" s="10" t="s">
        <v>205</v>
      </c>
      <c r="K1" s="10" t="s">
        <v>204</v>
      </c>
    </row>
    <row r="2" spans="1:11" x14ac:dyDescent="0.35">
      <c r="A2" s="11" t="s">
        <v>208</v>
      </c>
      <c r="B2" s="11" t="s">
        <v>140</v>
      </c>
      <c r="C2" s="11" t="s">
        <v>61</v>
      </c>
      <c r="D2" s="11" t="s">
        <v>190</v>
      </c>
      <c r="E2" s="11">
        <v>1</v>
      </c>
      <c r="G2" t="str">
        <f t="shared" ref="G2:G33" si="0">IF(A2="","",A2)</f>
        <v>ENR-001</v>
      </c>
      <c r="H2" t="str">
        <f>IFERROR(INDEX('2.3 Periodos'!$B$2:$B$61,MATCH(B2,'2.3 Periodos'!$A$2:$A$61,0)),"")</f>
        <v>PER-001</v>
      </c>
      <c r="I2" t="str">
        <f>IFERROR(INDEX('1.7 Sit Matricula'!$B$2:$B$61,MATCH(C2,'1.7 Sit Matricula'!$A$2:$A$61,0)),"")</f>
        <v>STATUS-001</v>
      </c>
      <c r="J2" t="str">
        <f>IFERROR(INDEX('4.1 Grupos Matricula'!$B$2:$B$61,MATCH(D2,'4.1 Grupos Matricula'!$A$2:$A$61,0)),"")</f>
        <v>GRPMAT-001</v>
      </c>
      <c r="K2" s="13">
        <f t="shared" ref="K2:K33" si="1">IF(E2="","",E2)</f>
        <v>1</v>
      </c>
    </row>
    <row r="3" spans="1:11" x14ac:dyDescent="0.35">
      <c r="G3" t="str">
        <f t="shared" si="0"/>
        <v/>
      </c>
      <c r="H3" t="str">
        <f>IFERROR(INDEX('2.3 Periodos'!$B$2:$B$61,MATCH(B3,'2.3 Periodos'!$A$2:$A$61,0)),"")</f>
        <v/>
      </c>
      <c r="I3" t="str">
        <f>IFERROR(INDEX('1.7 Sit Matricula'!$B$2:$B$61,MATCH(C3,'1.7 Sit Matricula'!$A$2:$A$61,0)),"")</f>
        <v/>
      </c>
      <c r="J3" t="str">
        <f>IFERROR(INDEX('4.1 Grupos Matricula'!$B$2:$B$61,MATCH(D3,'4.1 Grupos Matricula'!$A$2:$A$61,0)),"")</f>
        <v/>
      </c>
      <c r="K3" t="str">
        <f t="shared" si="1"/>
        <v/>
      </c>
    </row>
    <row r="4" spans="1:11" x14ac:dyDescent="0.35">
      <c r="G4" t="str">
        <f t="shared" si="0"/>
        <v/>
      </c>
      <c r="H4" t="str">
        <f>IFERROR(INDEX('2.3 Periodos'!$B$2:$B$61,MATCH(B4,'2.3 Periodos'!$A$2:$A$61,0)),"")</f>
        <v/>
      </c>
      <c r="I4" t="str">
        <f>IFERROR(INDEX('1.7 Sit Matricula'!$B$2:$B$61,MATCH(C4,'1.7 Sit Matricula'!$A$2:$A$61,0)),"")</f>
        <v/>
      </c>
      <c r="J4" t="str">
        <f>IFERROR(INDEX('4.1 Grupos Matricula'!$B$2:$B$61,MATCH(D4,'4.1 Grupos Matricula'!$A$2:$A$61,0)),"")</f>
        <v/>
      </c>
      <c r="K4" t="str">
        <f t="shared" si="1"/>
        <v/>
      </c>
    </row>
    <row r="5" spans="1:11" x14ac:dyDescent="0.35">
      <c r="G5" t="str">
        <f t="shared" si="0"/>
        <v/>
      </c>
      <c r="H5" t="str">
        <f>IFERROR(INDEX('2.3 Periodos'!$B$2:$B$61,MATCH(B5,'2.3 Periodos'!$A$2:$A$61,0)),"")</f>
        <v/>
      </c>
      <c r="I5" t="str">
        <f>IFERROR(INDEX('1.7 Sit Matricula'!$B$2:$B$61,MATCH(C5,'1.7 Sit Matricula'!$A$2:$A$61,0)),"")</f>
        <v/>
      </c>
      <c r="J5" t="str">
        <f>IFERROR(INDEX('4.1 Grupos Matricula'!$B$2:$B$61,MATCH(D5,'4.1 Grupos Matricula'!$A$2:$A$61,0)),"")</f>
        <v/>
      </c>
      <c r="K5" t="str">
        <f t="shared" si="1"/>
        <v/>
      </c>
    </row>
    <row r="6" spans="1:11" x14ac:dyDescent="0.35">
      <c r="G6" t="str">
        <f t="shared" si="0"/>
        <v/>
      </c>
      <c r="H6" t="str">
        <f>IFERROR(INDEX('2.3 Periodos'!$B$2:$B$61,MATCH(B6,'2.3 Periodos'!$A$2:$A$61,0)),"")</f>
        <v/>
      </c>
      <c r="I6" t="str">
        <f>IFERROR(INDEX('1.7 Sit Matricula'!$B$2:$B$61,MATCH(C6,'1.7 Sit Matricula'!$A$2:$A$61,0)),"")</f>
        <v/>
      </c>
      <c r="J6" t="str">
        <f>IFERROR(INDEX('4.1 Grupos Matricula'!$B$2:$B$61,MATCH(D6,'4.1 Grupos Matricula'!$A$2:$A$61,0)),"")</f>
        <v/>
      </c>
      <c r="K6" t="str">
        <f t="shared" si="1"/>
        <v/>
      </c>
    </row>
    <row r="7" spans="1:11" x14ac:dyDescent="0.35">
      <c r="G7" t="str">
        <f t="shared" si="0"/>
        <v/>
      </c>
      <c r="H7" t="str">
        <f>IFERROR(INDEX('2.3 Periodos'!$B$2:$B$61,MATCH(B7,'2.3 Periodos'!$A$2:$A$61,0)),"")</f>
        <v/>
      </c>
      <c r="I7" t="str">
        <f>IFERROR(INDEX('1.7 Sit Matricula'!$B$2:$B$61,MATCH(C7,'1.7 Sit Matricula'!$A$2:$A$61,0)),"")</f>
        <v/>
      </c>
      <c r="J7" t="str">
        <f>IFERROR(INDEX('4.1 Grupos Matricula'!$B$2:$B$61,MATCH(D7,'4.1 Grupos Matricula'!$A$2:$A$61,0)),"")</f>
        <v/>
      </c>
      <c r="K7" t="str">
        <f t="shared" si="1"/>
        <v/>
      </c>
    </row>
    <row r="8" spans="1:11" x14ac:dyDescent="0.35">
      <c r="G8" t="str">
        <f t="shared" si="0"/>
        <v/>
      </c>
      <c r="H8" t="str">
        <f>IFERROR(INDEX('2.3 Periodos'!$B$2:$B$61,MATCH(B8,'2.3 Periodos'!$A$2:$A$61,0)),"")</f>
        <v/>
      </c>
      <c r="I8" t="str">
        <f>IFERROR(INDEX('1.7 Sit Matricula'!$B$2:$B$61,MATCH(C8,'1.7 Sit Matricula'!$A$2:$A$61,0)),"")</f>
        <v/>
      </c>
      <c r="J8" t="str">
        <f>IFERROR(INDEX('4.1 Grupos Matricula'!$B$2:$B$61,MATCH(D8,'4.1 Grupos Matricula'!$A$2:$A$61,0)),"")</f>
        <v/>
      </c>
      <c r="K8" t="str">
        <f t="shared" si="1"/>
        <v/>
      </c>
    </row>
    <row r="9" spans="1:11" x14ac:dyDescent="0.35">
      <c r="G9" t="str">
        <f t="shared" si="0"/>
        <v/>
      </c>
      <c r="H9" t="str">
        <f>IFERROR(INDEX('2.3 Periodos'!$B$2:$B$61,MATCH(B9,'2.3 Periodos'!$A$2:$A$61,0)),"")</f>
        <v/>
      </c>
      <c r="I9" t="str">
        <f>IFERROR(INDEX('1.7 Sit Matricula'!$B$2:$B$61,MATCH(C9,'1.7 Sit Matricula'!$A$2:$A$61,0)),"")</f>
        <v/>
      </c>
      <c r="J9" t="str">
        <f>IFERROR(INDEX('4.1 Grupos Matricula'!$B$2:$B$61,MATCH(D9,'4.1 Grupos Matricula'!$A$2:$A$61,0)),"")</f>
        <v/>
      </c>
      <c r="K9" t="str">
        <f t="shared" si="1"/>
        <v/>
      </c>
    </row>
    <row r="10" spans="1:11" x14ac:dyDescent="0.35">
      <c r="G10" t="str">
        <f t="shared" si="0"/>
        <v/>
      </c>
      <c r="H10" t="str">
        <f>IFERROR(INDEX('2.3 Periodos'!$B$2:$B$61,MATCH(B10,'2.3 Periodos'!$A$2:$A$61,0)),"")</f>
        <v/>
      </c>
      <c r="I10" t="str">
        <f>IFERROR(INDEX('1.7 Sit Matricula'!$B$2:$B$61,MATCH(C10,'1.7 Sit Matricula'!$A$2:$A$61,0)),"")</f>
        <v/>
      </c>
      <c r="J10" t="str">
        <f>IFERROR(INDEX('4.1 Grupos Matricula'!$B$2:$B$61,MATCH(D10,'4.1 Grupos Matricula'!$A$2:$A$61,0)),"")</f>
        <v/>
      </c>
      <c r="K10" t="str">
        <f t="shared" si="1"/>
        <v/>
      </c>
    </row>
    <row r="11" spans="1:11" x14ac:dyDescent="0.35">
      <c r="G11" t="str">
        <f t="shared" si="0"/>
        <v/>
      </c>
      <c r="H11" t="str">
        <f>IFERROR(INDEX('2.3 Periodos'!$B$2:$B$61,MATCH(B11,'2.3 Periodos'!$A$2:$A$61,0)),"")</f>
        <v/>
      </c>
      <c r="I11" t="str">
        <f>IFERROR(INDEX('1.7 Sit Matricula'!$B$2:$B$61,MATCH(C11,'1.7 Sit Matricula'!$A$2:$A$61,0)),"")</f>
        <v/>
      </c>
      <c r="J11" t="str">
        <f>IFERROR(INDEX('4.1 Grupos Matricula'!$B$2:$B$61,MATCH(D11,'4.1 Grupos Matricula'!$A$2:$A$61,0)),"")</f>
        <v/>
      </c>
      <c r="K11" t="str">
        <f t="shared" si="1"/>
        <v/>
      </c>
    </row>
    <row r="12" spans="1:11" x14ac:dyDescent="0.35">
      <c r="G12" t="str">
        <f t="shared" si="0"/>
        <v/>
      </c>
      <c r="H12" t="str">
        <f>IFERROR(INDEX('2.3 Periodos'!$B$2:$B$61,MATCH(B12,'2.3 Periodos'!$A$2:$A$61,0)),"")</f>
        <v/>
      </c>
      <c r="I12" t="str">
        <f>IFERROR(INDEX('1.7 Sit Matricula'!$B$2:$B$61,MATCH(C12,'1.7 Sit Matricula'!$A$2:$A$61,0)),"")</f>
        <v/>
      </c>
      <c r="J12" t="str">
        <f>IFERROR(INDEX('4.1 Grupos Matricula'!$B$2:$B$61,MATCH(D12,'4.1 Grupos Matricula'!$A$2:$A$61,0)),"")</f>
        <v/>
      </c>
      <c r="K12" t="str">
        <f t="shared" si="1"/>
        <v/>
      </c>
    </row>
    <row r="13" spans="1:11" x14ac:dyDescent="0.35">
      <c r="G13" t="str">
        <f t="shared" si="0"/>
        <v/>
      </c>
      <c r="H13" t="str">
        <f>IFERROR(INDEX('2.3 Periodos'!$B$2:$B$61,MATCH(B13,'2.3 Periodos'!$A$2:$A$61,0)),"")</f>
        <v/>
      </c>
      <c r="I13" t="str">
        <f>IFERROR(INDEX('1.7 Sit Matricula'!$B$2:$B$61,MATCH(C13,'1.7 Sit Matricula'!$A$2:$A$61,0)),"")</f>
        <v/>
      </c>
      <c r="J13" t="str">
        <f>IFERROR(INDEX('4.1 Grupos Matricula'!$B$2:$B$61,MATCH(D13,'4.1 Grupos Matricula'!$A$2:$A$61,0)),"")</f>
        <v/>
      </c>
      <c r="K13" t="str">
        <f t="shared" si="1"/>
        <v/>
      </c>
    </row>
    <row r="14" spans="1:11" x14ac:dyDescent="0.35">
      <c r="G14" t="str">
        <f t="shared" si="0"/>
        <v/>
      </c>
      <c r="H14" t="str">
        <f>IFERROR(INDEX('2.3 Periodos'!$B$2:$B$61,MATCH(B14,'2.3 Periodos'!$A$2:$A$61,0)),"")</f>
        <v/>
      </c>
      <c r="I14" t="str">
        <f>IFERROR(INDEX('1.7 Sit Matricula'!$B$2:$B$61,MATCH(C14,'1.7 Sit Matricula'!$A$2:$A$61,0)),"")</f>
        <v/>
      </c>
      <c r="J14" t="str">
        <f>IFERROR(INDEX('4.1 Grupos Matricula'!$B$2:$B$61,MATCH(D14,'4.1 Grupos Matricula'!$A$2:$A$61,0)),"")</f>
        <v/>
      </c>
      <c r="K14" t="str">
        <f t="shared" si="1"/>
        <v/>
      </c>
    </row>
    <row r="15" spans="1:11" x14ac:dyDescent="0.35">
      <c r="G15" t="str">
        <f t="shared" si="0"/>
        <v/>
      </c>
      <c r="H15" t="str">
        <f>IFERROR(INDEX('2.3 Periodos'!$B$2:$B$61,MATCH(B15,'2.3 Periodos'!$A$2:$A$61,0)),"")</f>
        <v/>
      </c>
      <c r="I15" t="str">
        <f>IFERROR(INDEX('1.7 Sit Matricula'!$B$2:$B$61,MATCH(C15,'1.7 Sit Matricula'!$A$2:$A$61,0)),"")</f>
        <v/>
      </c>
      <c r="J15" t="str">
        <f>IFERROR(INDEX('4.1 Grupos Matricula'!$B$2:$B$61,MATCH(D15,'4.1 Grupos Matricula'!$A$2:$A$61,0)),"")</f>
        <v/>
      </c>
      <c r="K15" t="str">
        <f t="shared" si="1"/>
        <v/>
      </c>
    </row>
    <row r="16" spans="1:11" x14ac:dyDescent="0.35">
      <c r="G16" t="str">
        <f t="shared" si="0"/>
        <v/>
      </c>
      <c r="H16" t="str">
        <f>IFERROR(INDEX('2.3 Periodos'!$B$2:$B$61,MATCH(B16,'2.3 Periodos'!$A$2:$A$61,0)),"")</f>
        <v/>
      </c>
      <c r="I16" t="str">
        <f>IFERROR(INDEX('1.7 Sit Matricula'!$B$2:$B$61,MATCH(C16,'1.7 Sit Matricula'!$A$2:$A$61,0)),"")</f>
        <v/>
      </c>
      <c r="J16" t="str">
        <f>IFERROR(INDEX('4.1 Grupos Matricula'!$B$2:$B$61,MATCH(D16,'4.1 Grupos Matricula'!$A$2:$A$61,0)),"")</f>
        <v/>
      </c>
      <c r="K16" t="str">
        <f t="shared" si="1"/>
        <v/>
      </c>
    </row>
    <row r="17" spans="7:11" x14ac:dyDescent="0.35">
      <c r="G17" t="str">
        <f t="shared" si="0"/>
        <v/>
      </c>
      <c r="H17" t="str">
        <f>IFERROR(INDEX('2.3 Periodos'!$B$2:$B$61,MATCH(B17,'2.3 Periodos'!$A$2:$A$61,0)),"")</f>
        <v/>
      </c>
      <c r="I17" t="str">
        <f>IFERROR(INDEX('1.7 Sit Matricula'!$B$2:$B$61,MATCH(C17,'1.7 Sit Matricula'!$A$2:$A$61,0)),"")</f>
        <v/>
      </c>
      <c r="J17" t="str">
        <f>IFERROR(INDEX('4.1 Grupos Matricula'!$B$2:$B$61,MATCH(D17,'4.1 Grupos Matricula'!$A$2:$A$61,0)),"")</f>
        <v/>
      </c>
      <c r="K17" t="str">
        <f t="shared" si="1"/>
        <v/>
      </c>
    </row>
    <row r="18" spans="7:11" x14ac:dyDescent="0.35">
      <c r="G18" t="str">
        <f t="shared" si="0"/>
        <v/>
      </c>
      <c r="H18" t="str">
        <f>IFERROR(INDEX('2.3 Periodos'!$B$2:$B$61,MATCH(B18,'2.3 Periodos'!$A$2:$A$61,0)),"")</f>
        <v/>
      </c>
      <c r="I18" t="str">
        <f>IFERROR(INDEX('1.7 Sit Matricula'!$B$2:$B$61,MATCH(C18,'1.7 Sit Matricula'!$A$2:$A$61,0)),"")</f>
        <v/>
      </c>
      <c r="J18" t="str">
        <f>IFERROR(INDEX('4.1 Grupos Matricula'!$B$2:$B$61,MATCH(D18,'4.1 Grupos Matricula'!$A$2:$A$61,0)),"")</f>
        <v/>
      </c>
      <c r="K18" t="str">
        <f t="shared" si="1"/>
        <v/>
      </c>
    </row>
    <row r="19" spans="7:11" x14ac:dyDescent="0.35">
      <c r="G19" t="str">
        <f t="shared" si="0"/>
        <v/>
      </c>
      <c r="H19" t="str">
        <f>IFERROR(INDEX('2.3 Periodos'!$B$2:$B$61,MATCH(B19,'2.3 Periodos'!$A$2:$A$61,0)),"")</f>
        <v/>
      </c>
      <c r="I19" t="str">
        <f>IFERROR(INDEX('1.7 Sit Matricula'!$B$2:$B$61,MATCH(C19,'1.7 Sit Matricula'!$A$2:$A$61,0)),"")</f>
        <v/>
      </c>
      <c r="J19" t="str">
        <f>IFERROR(INDEX('4.1 Grupos Matricula'!$B$2:$B$61,MATCH(D19,'4.1 Grupos Matricula'!$A$2:$A$61,0)),"")</f>
        <v/>
      </c>
      <c r="K19" t="str">
        <f t="shared" si="1"/>
        <v/>
      </c>
    </row>
    <row r="20" spans="7:11" x14ac:dyDescent="0.35">
      <c r="G20" t="str">
        <f t="shared" si="0"/>
        <v/>
      </c>
      <c r="H20" t="str">
        <f>IFERROR(INDEX('2.3 Periodos'!$B$2:$B$61,MATCH(B20,'2.3 Periodos'!$A$2:$A$61,0)),"")</f>
        <v/>
      </c>
      <c r="I20" t="str">
        <f>IFERROR(INDEX('1.7 Sit Matricula'!$B$2:$B$61,MATCH(C20,'1.7 Sit Matricula'!$A$2:$A$61,0)),"")</f>
        <v/>
      </c>
      <c r="J20" t="str">
        <f>IFERROR(INDEX('4.1 Grupos Matricula'!$B$2:$B$61,MATCH(D20,'4.1 Grupos Matricula'!$A$2:$A$61,0)),"")</f>
        <v/>
      </c>
      <c r="K20" t="str">
        <f t="shared" si="1"/>
        <v/>
      </c>
    </row>
    <row r="21" spans="7:11" x14ac:dyDescent="0.35">
      <c r="G21" t="str">
        <f t="shared" si="0"/>
        <v/>
      </c>
      <c r="H21" t="str">
        <f>IFERROR(INDEX('2.3 Periodos'!$B$2:$B$61,MATCH(B21,'2.3 Periodos'!$A$2:$A$61,0)),"")</f>
        <v/>
      </c>
      <c r="I21" t="str">
        <f>IFERROR(INDEX('1.7 Sit Matricula'!$B$2:$B$61,MATCH(C21,'1.7 Sit Matricula'!$A$2:$A$61,0)),"")</f>
        <v/>
      </c>
      <c r="J21" t="str">
        <f>IFERROR(INDEX('4.1 Grupos Matricula'!$B$2:$B$61,MATCH(D21,'4.1 Grupos Matricula'!$A$2:$A$61,0)),"")</f>
        <v/>
      </c>
      <c r="K21" t="str">
        <f t="shared" si="1"/>
        <v/>
      </c>
    </row>
    <row r="22" spans="7:11" x14ac:dyDescent="0.35">
      <c r="G22" t="str">
        <f t="shared" si="0"/>
        <v/>
      </c>
      <c r="H22" t="str">
        <f>IFERROR(INDEX('2.3 Periodos'!$B$2:$B$61,MATCH(B22,'2.3 Periodos'!$A$2:$A$61,0)),"")</f>
        <v/>
      </c>
      <c r="I22" t="str">
        <f>IFERROR(INDEX('1.7 Sit Matricula'!$B$2:$B$61,MATCH(C22,'1.7 Sit Matricula'!$A$2:$A$61,0)),"")</f>
        <v/>
      </c>
      <c r="J22" t="str">
        <f>IFERROR(INDEX('4.1 Grupos Matricula'!$B$2:$B$61,MATCH(D22,'4.1 Grupos Matricula'!$A$2:$A$61,0)),"")</f>
        <v/>
      </c>
      <c r="K22" t="str">
        <f t="shared" si="1"/>
        <v/>
      </c>
    </row>
    <row r="23" spans="7:11" x14ac:dyDescent="0.35">
      <c r="G23" t="str">
        <f t="shared" si="0"/>
        <v/>
      </c>
      <c r="H23" t="str">
        <f>IFERROR(INDEX('2.3 Periodos'!$B$2:$B$61,MATCH(B23,'2.3 Periodos'!$A$2:$A$61,0)),"")</f>
        <v/>
      </c>
      <c r="I23" t="str">
        <f>IFERROR(INDEX('1.7 Sit Matricula'!$B$2:$B$61,MATCH(C23,'1.7 Sit Matricula'!$A$2:$A$61,0)),"")</f>
        <v/>
      </c>
      <c r="J23" t="str">
        <f>IFERROR(INDEX('4.1 Grupos Matricula'!$B$2:$B$61,MATCH(D23,'4.1 Grupos Matricula'!$A$2:$A$61,0)),"")</f>
        <v/>
      </c>
      <c r="K23" t="str">
        <f t="shared" si="1"/>
        <v/>
      </c>
    </row>
    <row r="24" spans="7:11" x14ac:dyDescent="0.35">
      <c r="G24" t="str">
        <f t="shared" si="0"/>
        <v/>
      </c>
      <c r="H24" t="str">
        <f>IFERROR(INDEX('2.3 Periodos'!$B$2:$B$61,MATCH(B24,'2.3 Periodos'!$A$2:$A$61,0)),"")</f>
        <v/>
      </c>
      <c r="I24" t="str">
        <f>IFERROR(INDEX('1.7 Sit Matricula'!$B$2:$B$61,MATCH(C24,'1.7 Sit Matricula'!$A$2:$A$61,0)),"")</f>
        <v/>
      </c>
      <c r="J24" t="str">
        <f>IFERROR(INDEX('4.1 Grupos Matricula'!$B$2:$B$61,MATCH(D24,'4.1 Grupos Matricula'!$A$2:$A$61,0)),"")</f>
        <v/>
      </c>
      <c r="K24" t="str">
        <f t="shared" si="1"/>
        <v/>
      </c>
    </row>
    <row r="25" spans="7:11" x14ac:dyDescent="0.35">
      <c r="G25" t="str">
        <f t="shared" si="0"/>
        <v/>
      </c>
      <c r="H25" t="str">
        <f>IFERROR(INDEX('2.3 Periodos'!$B$2:$B$61,MATCH(B25,'2.3 Periodos'!$A$2:$A$61,0)),"")</f>
        <v/>
      </c>
      <c r="I25" t="str">
        <f>IFERROR(INDEX('1.7 Sit Matricula'!$B$2:$B$61,MATCH(C25,'1.7 Sit Matricula'!$A$2:$A$61,0)),"")</f>
        <v/>
      </c>
      <c r="J25" t="str">
        <f>IFERROR(INDEX('4.1 Grupos Matricula'!$B$2:$B$61,MATCH(D25,'4.1 Grupos Matricula'!$A$2:$A$61,0)),"")</f>
        <v/>
      </c>
      <c r="K25" t="str">
        <f t="shared" si="1"/>
        <v/>
      </c>
    </row>
    <row r="26" spans="7:11" x14ac:dyDescent="0.35">
      <c r="G26" t="str">
        <f t="shared" si="0"/>
        <v/>
      </c>
      <c r="H26" t="str">
        <f>IFERROR(INDEX('2.3 Periodos'!$B$2:$B$61,MATCH(B26,'2.3 Periodos'!$A$2:$A$61,0)),"")</f>
        <v/>
      </c>
      <c r="I26" t="str">
        <f>IFERROR(INDEX('1.7 Sit Matricula'!$B$2:$B$61,MATCH(C26,'1.7 Sit Matricula'!$A$2:$A$61,0)),"")</f>
        <v/>
      </c>
      <c r="J26" t="str">
        <f>IFERROR(INDEX('4.1 Grupos Matricula'!$B$2:$B$61,MATCH(D26,'4.1 Grupos Matricula'!$A$2:$A$61,0)),"")</f>
        <v/>
      </c>
      <c r="K26" t="str">
        <f t="shared" si="1"/>
        <v/>
      </c>
    </row>
    <row r="27" spans="7:11" x14ac:dyDescent="0.35">
      <c r="G27" t="str">
        <f t="shared" si="0"/>
        <v/>
      </c>
      <c r="H27" t="str">
        <f>IFERROR(INDEX('2.3 Periodos'!$B$2:$B$61,MATCH(B27,'2.3 Periodos'!$A$2:$A$61,0)),"")</f>
        <v/>
      </c>
      <c r="I27" t="str">
        <f>IFERROR(INDEX('1.7 Sit Matricula'!$B$2:$B$61,MATCH(C27,'1.7 Sit Matricula'!$A$2:$A$61,0)),"")</f>
        <v/>
      </c>
      <c r="J27" t="str">
        <f>IFERROR(INDEX('4.1 Grupos Matricula'!$B$2:$B$61,MATCH(D27,'4.1 Grupos Matricula'!$A$2:$A$61,0)),"")</f>
        <v/>
      </c>
      <c r="K27" t="str">
        <f t="shared" si="1"/>
        <v/>
      </c>
    </row>
    <row r="28" spans="7:11" x14ac:dyDescent="0.35">
      <c r="G28" t="str">
        <f t="shared" si="0"/>
        <v/>
      </c>
      <c r="H28" t="str">
        <f>IFERROR(INDEX('2.3 Periodos'!$B$2:$B$61,MATCH(B28,'2.3 Periodos'!$A$2:$A$61,0)),"")</f>
        <v/>
      </c>
      <c r="I28" t="str">
        <f>IFERROR(INDEX('1.7 Sit Matricula'!$B$2:$B$61,MATCH(C28,'1.7 Sit Matricula'!$A$2:$A$61,0)),"")</f>
        <v/>
      </c>
      <c r="J28" t="str">
        <f>IFERROR(INDEX('4.1 Grupos Matricula'!$B$2:$B$61,MATCH(D28,'4.1 Grupos Matricula'!$A$2:$A$61,0)),"")</f>
        <v/>
      </c>
      <c r="K28" t="str">
        <f t="shared" si="1"/>
        <v/>
      </c>
    </row>
    <row r="29" spans="7:11" x14ac:dyDescent="0.35">
      <c r="G29" t="str">
        <f t="shared" si="0"/>
        <v/>
      </c>
      <c r="H29" t="str">
        <f>IFERROR(INDEX('2.3 Periodos'!$B$2:$B$61,MATCH(B29,'2.3 Periodos'!$A$2:$A$61,0)),"")</f>
        <v/>
      </c>
      <c r="I29" t="str">
        <f>IFERROR(INDEX('1.7 Sit Matricula'!$B$2:$B$61,MATCH(C29,'1.7 Sit Matricula'!$A$2:$A$61,0)),"")</f>
        <v/>
      </c>
      <c r="J29" t="str">
        <f>IFERROR(INDEX('4.1 Grupos Matricula'!$B$2:$B$61,MATCH(D29,'4.1 Grupos Matricula'!$A$2:$A$61,0)),"")</f>
        <v/>
      </c>
      <c r="K29" t="str">
        <f t="shared" si="1"/>
        <v/>
      </c>
    </row>
    <row r="30" spans="7:11" x14ac:dyDescent="0.35">
      <c r="G30" t="str">
        <f t="shared" si="0"/>
        <v/>
      </c>
      <c r="H30" t="str">
        <f>IFERROR(INDEX('2.3 Periodos'!$B$2:$B$61,MATCH(B30,'2.3 Periodos'!$A$2:$A$61,0)),"")</f>
        <v/>
      </c>
      <c r="I30" t="str">
        <f>IFERROR(INDEX('1.7 Sit Matricula'!$B$2:$B$61,MATCH(C30,'1.7 Sit Matricula'!$A$2:$A$61,0)),"")</f>
        <v/>
      </c>
      <c r="J30" t="str">
        <f>IFERROR(INDEX('4.1 Grupos Matricula'!$B$2:$B$61,MATCH(D30,'4.1 Grupos Matricula'!$A$2:$A$61,0)),"")</f>
        <v/>
      </c>
      <c r="K30" t="str">
        <f t="shared" si="1"/>
        <v/>
      </c>
    </row>
    <row r="31" spans="7:11" x14ac:dyDescent="0.35">
      <c r="G31" t="str">
        <f t="shared" si="0"/>
        <v/>
      </c>
      <c r="H31" t="str">
        <f>IFERROR(INDEX('2.3 Periodos'!$B$2:$B$61,MATCH(B31,'2.3 Periodos'!$A$2:$A$61,0)),"")</f>
        <v/>
      </c>
      <c r="I31" t="str">
        <f>IFERROR(INDEX('1.7 Sit Matricula'!$B$2:$B$61,MATCH(C31,'1.7 Sit Matricula'!$A$2:$A$61,0)),"")</f>
        <v/>
      </c>
      <c r="J31" t="str">
        <f>IFERROR(INDEX('4.1 Grupos Matricula'!$B$2:$B$61,MATCH(D31,'4.1 Grupos Matricula'!$A$2:$A$61,0)),"")</f>
        <v/>
      </c>
      <c r="K31" t="str">
        <f t="shared" si="1"/>
        <v/>
      </c>
    </row>
    <row r="32" spans="7:11" x14ac:dyDescent="0.35">
      <c r="G32" t="str">
        <f t="shared" si="0"/>
        <v/>
      </c>
      <c r="H32" t="str">
        <f>IFERROR(INDEX('2.3 Periodos'!$B$2:$B$61,MATCH(B32,'2.3 Periodos'!$A$2:$A$61,0)),"")</f>
        <v/>
      </c>
      <c r="I32" t="str">
        <f>IFERROR(INDEX('1.7 Sit Matricula'!$B$2:$B$61,MATCH(C32,'1.7 Sit Matricula'!$A$2:$A$61,0)),"")</f>
        <v/>
      </c>
      <c r="J32" t="str">
        <f>IFERROR(INDEX('4.1 Grupos Matricula'!$B$2:$B$61,MATCH(D32,'4.1 Grupos Matricula'!$A$2:$A$61,0)),"")</f>
        <v/>
      </c>
      <c r="K32" t="str">
        <f t="shared" si="1"/>
        <v/>
      </c>
    </row>
    <row r="33" spans="7:11" x14ac:dyDescent="0.35">
      <c r="G33" t="str">
        <f t="shared" si="0"/>
        <v/>
      </c>
      <c r="H33" t="str">
        <f>IFERROR(INDEX('2.3 Periodos'!$B$2:$B$61,MATCH(B33,'2.3 Periodos'!$A$2:$A$61,0)),"")</f>
        <v/>
      </c>
      <c r="I33" t="str">
        <f>IFERROR(INDEX('1.7 Sit Matricula'!$B$2:$B$61,MATCH(C33,'1.7 Sit Matricula'!$A$2:$A$61,0)),"")</f>
        <v/>
      </c>
      <c r="J33" t="str">
        <f>IFERROR(INDEX('4.1 Grupos Matricula'!$B$2:$B$61,MATCH(D33,'4.1 Grupos Matricula'!$A$2:$A$61,0)),"")</f>
        <v/>
      </c>
      <c r="K33" t="str">
        <f t="shared" si="1"/>
        <v/>
      </c>
    </row>
    <row r="34" spans="7:11" x14ac:dyDescent="0.35">
      <c r="G34" t="str">
        <f t="shared" ref="G34:G61" si="2">IF(A34="","",A34)</f>
        <v/>
      </c>
      <c r="H34" t="str">
        <f>IFERROR(INDEX('2.3 Periodos'!$B$2:$B$61,MATCH(B34,'2.3 Periodos'!$A$2:$A$61,0)),"")</f>
        <v/>
      </c>
      <c r="I34" t="str">
        <f>IFERROR(INDEX('1.7 Sit Matricula'!$B$2:$B$61,MATCH(C34,'1.7 Sit Matricula'!$A$2:$A$61,0)),"")</f>
        <v/>
      </c>
      <c r="J34" t="str">
        <f>IFERROR(INDEX('4.1 Grupos Matricula'!$B$2:$B$61,MATCH(D34,'4.1 Grupos Matricula'!$A$2:$A$61,0)),"")</f>
        <v/>
      </c>
      <c r="K34" t="str">
        <f t="shared" ref="K34:K61" si="3">IF(E34="","",E34)</f>
        <v/>
      </c>
    </row>
    <row r="35" spans="7:11" x14ac:dyDescent="0.35">
      <c r="G35" t="str">
        <f t="shared" si="2"/>
        <v/>
      </c>
      <c r="H35" t="str">
        <f>IFERROR(INDEX('2.3 Periodos'!$B$2:$B$61,MATCH(B35,'2.3 Periodos'!$A$2:$A$61,0)),"")</f>
        <v/>
      </c>
      <c r="I35" t="str">
        <f>IFERROR(INDEX('1.7 Sit Matricula'!$B$2:$B$61,MATCH(C35,'1.7 Sit Matricula'!$A$2:$A$61,0)),"")</f>
        <v/>
      </c>
      <c r="J35" t="str">
        <f>IFERROR(INDEX('4.1 Grupos Matricula'!$B$2:$B$61,MATCH(D35,'4.1 Grupos Matricula'!$A$2:$A$61,0)),"")</f>
        <v/>
      </c>
      <c r="K35" t="str">
        <f t="shared" si="3"/>
        <v/>
      </c>
    </row>
    <row r="36" spans="7:11" x14ac:dyDescent="0.35">
      <c r="G36" t="str">
        <f t="shared" si="2"/>
        <v/>
      </c>
      <c r="H36" t="str">
        <f>IFERROR(INDEX('2.3 Periodos'!$B$2:$B$61,MATCH(B36,'2.3 Periodos'!$A$2:$A$61,0)),"")</f>
        <v/>
      </c>
      <c r="I36" t="str">
        <f>IFERROR(INDEX('1.7 Sit Matricula'!$B$2:$B$61,MATCH(C36,'1.7 Sit Matricula'!$A$2:$A$61,0)),"")</f>
        <v/>
      </c>
      <c r="J36" t="str">
        <f>IFERROR(INDEX('4.1 Grupos Matricula'!$B$2:$B$61,MATCH(D36,'4.1 Grupos Matricula'!$A$2:$A$61,0)),"")</f>
        <v/>
      </c>
      <c r="K36" t="str">
        <f t="shared" si="3"/>
        <v/>
      </c>
    </row>
    <row r="37" spans="7:11" x14ac:dyDescent="0.35">
      <c r="G37" t="str">
        <f t="shared" si="2"/>
        <v/>
      </c>
      <c r="H37" t="str">
        <f>IFERROR(INDEX('2.3 Periodos'!$B$2:$B$61,MATCH(B37,'2.3 Periodos'!$A$2:$A$61,0)),"")</f>
        <v/>
      </c>
      <c r="I37" t="str">
        <f>IFERROR(INDEX('1.7 Sit Matricula'!$B$2:$B$61,MATCH(C37,'1.7 Sit Matricula'!$A$2:$A$61,0)),"")</f>
        <v/>
      </c>
      <c r="J37" t="str">
        <f>IFERROR(INDEX('4.1 Grupos Matricula'!$B$2:$B$61,MATCH(D37,'4.1 Grupos Matricula'!$A$2:$A$61,0)),"")</f>
        <v/>
      </c>
      <c r="K37" t="str">
        <f t="shared" si="3"/>
        <v/>
      </c>
    </row>
    <row r="38" spans="7:11" x14ac:dyDescent="0.35">
      <c r="G38" t="str">
        <f t="shared" si="2"/>
        <v/>
      </c>
      <c r="H38" t="str">
        <f>IFERROR(INDEX('2.3 Periodos'!$B$2:$B$61,MATCH(B38,'2.3 Periodos'!$A$2:$A$61,0)),"")</f>
        <v/>
      </c>
      <c r="I38" t="str">
        <f>IFERROR(INDEX('1.7 Sit Matricula'!$B$2:$B$61,MATCH(C38,'1.7 Sit Matricula'!$A$2:$A$61,0)),"")</f>
        <v/>
      </c>
      <c r="J38" t="str">
        <f>IFERROR(INDEX('4.1 Grupos Matricula'!$B$2:$B$61,MATCH(D38,'4.1 Grupos Matricula'!$A$2:$A$61,0)),"")</f>
        <v/>
      </c>
      <c r="K38" t="str">
        <f t="shared" si="3"/>
        <v/>
      </c>
    </row>
    <row r="39" spans="7:11" x14ac:dyDescent="0.35">
      <c r="G39" t="str">
        <f t="shared" si="2"/>
        <v/>
      </c>
      <c r="H39" t="str">
        <f>IFERROR(INDEX('2.3 Periodos'!$B$2:$B$61,MATCH(B39,'2.3 Periodos'!$A$2:$A$61,0)),"")</f>
        <v/>
      </c>
      <c r="I39" t="str">
        <f>IFERROR(INDEX('1.7 Sit Matricula'!$B$2:$B$61,MATCH(C39,'1.7 Sit Matricula'!$A$2:$A$61,0)),"")</f>
        <v/>
      </c>
      <c r="J39" t="str">
        <f>IFERROR(INDEX('4.1 Grupos Matricula'!$B$2:$B$61,MATCH(D39,'4.1 Grupos Matricula'!$A$2:$A$61,0)),"")</f>
        <v/>
      </c>
      <c r="K39" t="str">
        <f t="shared" si="3"/>
        <v/>
      </c>
    </row>
    <row r="40" spans="7:11" x14ac:dyDescent="0.35">
      <c r="G40" t="str">
        <f t="shared" si="2"/>
        <v/>
      </c>
      <c r="H40" t="str">
        <f>IFERROR(INDEX('2.3 Periodos'!$B$2:$B$61,MATCH(B40,'2.3 Periodos'!$A$2:$A$61,0)),"")</f>
        <v/>
      </c>
      <c r="I40" t="str">
        <f>IFERROR(INDEX('1.7 Sit Matricula'!$B$2:$B$61,MATCH(C40,'1.7 Sit Matricula'!$A$2:$A$61,0)),"")</f>
        <v/>
      </c>
      <c r="J40" t="str">
        <f>IFERROR(INDEX('4.1 Grupos Matricula'!$B$2:$B$61,MATCH(D40,'4.1 Grupos Matricula'!$A$2:$A$61,0)),"")</f>
        <v/>
      </c>
      <c r="K40" t="str">
        <f t="shared" si="3"/>
        <v/>
      </c>
    </row>
    <row r="41" spans="7:11" x14ac:dyDescent="0.35">
      <c r="G41" t="str">
        <f t="shared" si="2"/>
        <v/>
      </c>
      <c r="H41" t="str">
        <f>IFERROR(INDEX('2.3 Periodos'!$B$2:$B$61,MATCH(B41,'2.3 Periodos'!$A$2:$A$61,0)),"")</f>
        <v/>
      </c>
      <c r="I41" t="str">
        <f>IFERROR(INDEX('1.7 Sit Matricula'!$B$2:$B$61,MATCH(C41,'1.7 Sit Matricula'!$A$2:$A$61,0)),"")</f>
        <v/>
      </c>
      <c r="J41" t="str">
        <f>IFERROR(INDEX('4.1 Grupos Matricula'!$B$2:$B$61,MATCH(D41,'4.1 Grupos Matricula'!$A$2:$A$61,0)),"")</f>
        <v/>
      </c>
      <c r="K41" t="str">
        <f t="shared" si="3"/>
        <v/>
      </c>
    </row>
    <row r="42" spans="7:11" x14ac:dyDescent="0.35">
      <c r="G42" t="str">
        <f t="shared" si="2"/>
        <v/>
      </c>
      <c r="H42" t="str">
        <f>IFERROR(INDEX('2.3 Periodos'!$B$2:$B$61,MATCH(B42,'2.3 Periodos'!$A$2:$A$61,0)),"")</f>
        <v/>
      </c>
      <c r="I42" t="str">
        <f>IFERROR(INDEX('1.7 Sit Matricula'!$B$2:$B$61,MATCH(C42,'1.7 Sit Matricula'!$A$2:$A$61,0)),"")</f>
        <v/>
      </c>
      <c r="J42" t="str">
        <f>IFERROR(INDEX('4.1 Grupos Matricula'!$B$2:$B$61,MATCH(D42,'4.1 Grupos Matricula'!$A$2:$A$61,0)),"")</f>
        <v/>
      </c>
      <c r="K42" t="str">
        <f t="shared" si="3"/>
        <v/>
      </c>
    </row>
    <row r="43" spans="7:11" x14ac:dyDescent="0.35">
      <c r="G43" t="str">
        <f t="shared" si="2"/>
        <v/>
      </c>
      <c r="H43" t="str">
        <f>IFERROR(INDEX('2.3 Periodos'!$B$2:$B$61,MATCH(B43,'2.3 Periodos'!$A$2:$A$61,0)),"")</f>
        <v/>
      </c>
      <c r="I43" t="str">
        <f>IFERROR(INDEX('1.7 Sit Matricula'!$B$2:$B$61,MATCH(C43,'1.7 Sit Matricula'!$A$2:$A$61,0)),"")</f>
        <v/>
      </c>
      <c r="J43" t="str">
        <f>IFERROR(INDEX('4.1 Grupos Matricula'!$B$2:$B$61,MATCH(D43,'4.1 Grupos Matricula'!$A$2:$A$61,0)),"")</f>
        <v/>
      </c>
      <c r="K43" t="str">
        <f t="shared" si="3"/>
        <v/>
      </c>
    </row>
    <row r="44" spans="7:11" x14ac:dyDescent="0.35">
      <c r="G44" t="str">
        <f t="shared" si="2"/>
        <v/>
      </c>
      <c r="H44" t="str">
        <f>IFERROR(INDEX('2.3 Periodos'!$B$2:$B$61,MATCH(B44,'2.3 Periodos'!$A$2:$A$61,0)),"")</f>
        <v/>
      </c>
      <c r="I44" t="str">
        <f>IFERROR(INDEX('1.7 Sit Matricula'!$B$2:$B$61,MATCH(C44,'1.7 Sit Matricula'!$A$2:$A$61,0)),"")</f>
        <v/>
      </c>
      <c r="J44" t="str">
        <f>IFERROR(INDEX('4.1 Grupos Matricula'!$B$2:$B$61,MATCH(D44,'4.1 Grupos Matricula'!$A$2:$A$61,0)),"")</f>
        <v/>
      </c>
      <c r="K44" t="str">
        <f t="shared" si="3"/>
        <v/>
      </c>
    </row>
    <row r="45" spans="7:11" x14ac:dyDescent="0.35">
      <c r="G45" t="str">
        <f t="shared" si="2"/>
        <v/>
      </c>
      <c r="H45" t="str">
        <f>IFERROR(INDEX('2.3 Periodos'!$B$2:$B$61,MATCH(B45,'2.3 Periodos'!$A$2:$A$61,0)),"")</f>
        <v/>
      </c>
      <c r="I45" t="str">
        <f>IFERROR(INDEX('1.7 Sit Matricula'!$B$2:$B$61,MATCH(C45,'1.7 Sit Matricula'!$A$2:$A$61,0)),"")</f>
        <v/>
      </c>
      <c r="J45" t="str">
        <f>IFERROR(INDEX('4.1 Grupos Matricula'!$B$2:$B$61,MATCH(D45,'4.1 Grupos Matricula'!$A$2:$A$61,0)),"")</f>
        <v/>
      </c>
      <c r="K45" t="str">
        <f t="shared" si="3"/>
        <v/>
      </c>
    </row>
    <row r="46" spans="7:11" x14ac:dyDescent="0.35">
      <c r="G46" t="str">
        <f t="shared" si="2"/>
        <v/>
      </c>
      <c r="H46" t="str">
        <f>IFERROR(INDEX('2.3 Periodos'!$B$2:$B$61,MATCH(B46,'2.3 Periodos'!$A$2:$A$61,0)),"")</f>
        <v/>
      </c>
      <c r="I46" t="str">
        <f>IFERROR(INDEX('1.7 Sit Matricula'!$B$2:$B$61,MATCH(C46,'1.7 Sit Matricula'!$A$2:$A$61,0)),"")</f>
        <v/>
      </c>
      <c r="J46" t="str">
        <f>IFERROR(INDEX('4.1 Grupos Matricula'!$B$2:$B$61,MATCH(D46,'4.1 Grupos Matricula'!$A$2:$A$61,0)),"")</f>
        <v/>
      </c>
      <c r="K46" t="str">
        <f t="shared" si="3"/>
        <v/>
      </c>
    </row>
    <row r="47" spans="7:11" x14ac:dyDescent="0.35">
      <c r="G47" t="str">
        <f t="shared" si="2"/>
        <v/>
      </c>
      <c r="H47" t="str">
        <f>IFERROR(INDEX('2.3 Periodos'!$B$2:$B$61,MATCH(B47,'2.3 Periodos'!$A$2:$A$61,0)),"")</f>
        <v/>
      </c>
      <c r="I47" t="str">
        <f>IFERROR(INDEX('1.7 Sit Matricula'!$B$2:$B$61,MATCH(C47,'1.7 Sit Matricula'!$A$2:$A$61,0)),"")</f>
        <v/>
      </c>
      <c r="J47" t="str">
        <f>IFERROR(INDEX('4.1 Grupos Matricula'!$B$2:$B$61,MATCH(D47,'4.1 Grupos Matricula'!$A$2:$A$61,0)),"")</f>
        <v/>
      </c>
      <c r="K47" t="str">
        <f t="shared" si="3"/>
        <v/>
      </c>
    </row>
    <row r="48" spans="7:11" x14ac:dyDescent="0.35">
      <c r="G48" t="str">
        <f t="shared" si="2"/>
        <v/>
      </c>
      <c r="H48" t="str">
        <f>IFERROR(INDEX('2.3 Periodos'!$B$2:$B$61,MATCH(B48,'2.3 Periodos'!$A$2:$A$61,0)),"")</f>
        <v/>
      </c>
      <c r="I48" t="str">
        <f>IFERROR(INDEX('1.7 Sit Matricula'!$B$2:$B$61,MATCH(C48,'1.7 Sit Matricula'!$A$2:$A$61,0)),"")</f>
        <v/>
      </c>
      <c r="J48" t="str">
        <f>IFERROR(INDEX('4.1 Grupos Matricula'!$B$2:$B$61,MATCH(D48,'4.1 Grupos Matricula'!$A$2:$A$61,0)),"")</f>
        <v/>
      </c>
      <c r="K48" t="str">
        <f t="shared" si="3"/>
        <v/>
      </c>
    </row>
    <row r="49" spans="7:11" x14ac:dyDescent="0.35">
      <c r="G49" t="str">
        <f t="shared" si="2"/>
        <v/>
      </c>
      <c r="H49" t="str">
        <f>IFERROR(INDEX('2.3 Periodos'!$B$2:$B$61,MATCH(B49,'2.3 Periodos'!$A$2:$A$61,0)),"")</f>
        <v/>
      </c>
      <c r="I49" t="str">
        <f>IFERROR(INDEX('1.7 Sit Matricula'!$B$2:$B$61,MATCH(C49,'1.7 Sit Matricula'!$A$2:$A$61,0)),"")</f>
        <v/>
      </c>
      <c r="J49" t="str">
        <f>IFERROR(INDEX('4.1 Grupos Matricula'!$B$2:$B$61,MATCH(D49,'4.1 Grupos Matricula'!$A$2:$A$61,0)),"")</f>
        <v/>
      </c>
      <c r="K49" t="str">
        <f t="shared" si="3"/>
        <v/>
      </c>
    </row>
    <row r="50" spans="7:11" x14ac:dyDescent="0.35">
      <c r="G50" t="str">
        <f t="shared" si="2"/>
        <v/>
      </c>
      <c r="H50" t="str">
        <f>IFERROR(INDEX('2.3 Periodos'!$B$2:$B$61,MATCH(B50,'2.3 Periodos'!$A$2:$A$61,0)),"")</f>
        <v/>
      </c>
      <c r="I50" t="str">
        <f>IFERROR(INDEX('1.7 Sit Matricula'!$B$2:$B$61,MATCH(C50,'1.7 Sit Matricula'!$A$2:$A$61,0)),"")</f>
        <v/>
      </c>
      <c r="J50" t="str">
        <f>IFERROR(INDEX('4.1 Grupos Matricula'!$B$2:$B$61,MATCH(D50,'4.1 Grupos Matricula'!$A$2:$A$61,0)),"")</f>
        <v/>
      </c>
      <c r="K50" t="str">
        <f t="shared" si="3"/>
        <v/>
      </c>
    </row>
    <row r="51" spans="7:11" x14ac:dyDescent="0.35">
      <c r="G51" t="str">
        <f t="shared" si="2"/>
        <v/>
      </c>
      <c r="H51" t="str">
        <f>IFERROR(INDEX('2.3 Periodos'!$B$2:$B$61,MATCH(B51,'2.3 Periodos'!$A$2:$A$61,0)),"")</f>
        <v/>
      </c>
      <c r="I51" t="str">
        <f>IFERROR(INDEX('1.7 Sit Matricula'!$B$2:$B$61,MATCH(C51,'1.7 Sit Matricula'!$A$2:$A$61,0)),"")</f>
        <v/>
      </c>
      <c r="J51" t="str">
        <f>IFERROR(INDEX('4.1 Grupos Matricula'!$B$2:$B$61,MATCH(D51,'4.1 Grupos Matricula'!$A$2:$A$61,0)),"")</f>
        <v/>
      </c>
      <c r="K51" t="str">
        <f t="shared" si="3"/>
        <v/>
      </c>
    </row>
    <row r="52" spans="7:11" x14ac:dyDescent="0.35">
      <c r="G52" t="str">
        <f t="shared" si="2"/>
        <v/>
      </c>
      <c r="H52" t="str">
        <f>IFERROR(INDEX('2.3 Periodos'!$B$2:$B$61,MATCH(B52,'2.3 Periodos'!$A$2:$A$61,0)),"")</f>
        <v/>
      </c>
      <c r="I52" t="str">
        <f>IFERROR(INDEX('1.7 Sit Matricula'!$B$2:$B$61,MATCH(C52,'1.7 Sit Matricula'!$A$2:$A$61,0)),"")</f>
        <v/>
      </c>
      <c r="J52" t="str">
        <f>IFERROR(INDEX('4.1 Grupos Matricula'!$B$2:$B$61,MATCH(D52,'4.1 Grupos Matricula'!$A$2:$A$61,0)),"")</f>
        <v/>
      </c>
      <c r="K52" t="str">
        <f t="shared" si="3"/>
        <v/>
      </c>
    </row>
    <row r="53" spans="7:11" x14ac:dyDescent="0.35">
      <c r="G53" t="str">
        <f t="shared" si="2"/>
        <v/>
      </c>
      <c r="H53" t="str">
        <f>IFERROR(INDEX('2.3 Periodos'!$B$2:$B$61,MATCH(B53,'2.3 Periodos'!$A$2:$A$61,0)),"")</f>
        <v/>
      </c>
      <c r="I53" t="str">
        <f>IFERROR(INDEX('1.7 Sit Matricula'!$B$2:$B$61,MATCH(C53,'1.7 Sit Matricula'!$A$2:$A$61,0)),"")</f>
        <v/>
      </c>
      <c r="J53" t="str">
        <f>IFERROR(INDEX('4.1 Grupos Matricula'!$B$2:$B$61,MATCH(D53,'4.1 Grupos Matricula'!$A$2:$A$61,0)),"")</f>
        <v/>
      </c>
      <c r="K53" t="str">
        <f t="shared" si="3"/>
        <v/>
      </c>
    </row>
    <row r="54" spans="7:11" x14ac:dyDescent="0.35">
      <c r="G54" t="str">
        <f t="shared" si="2"/>
        <v/>
      </c>
      <c r="H54" t="str">
        <f>IFERROR(INDEX('2.3 Periodos'!$B$2:$B$61,MATCH(B54,'2.3 Periodos'!$A$2:$A$61,0)),"")</f>
        <v/>
      </c>
      <c r="I54" t="str">
        <f>IFERROR(INDEX('1.7 Sit Matricula'!$B$2:$B$61,MATCH(C54,'1.7 Sit Matricula'!$A$2:$A$61,0)),"")</f>
        <v/>
      </c>
      <c r="J54" t="str">
        <f>IFERROR(INDEX('4.1 Grupos Matricula'!$B$2:$B$61,MATCH(D54,'4.1 Grupos Matricula'!$A$2:$A$61,0)),"")</f>
        <v/>
      </c>
      <c r="K54" t="str">
        <f t="shared" si="3"/>
        <v/>
      </c>
    </row>
    <row r="55" spans="7:11" x14ac:dyDescent="0.35">
      <c r="G55" t="str">
        <f t="shared" si="2"/>
        <v/>
      </c>
      <c r="H55" t="str">
        <f>IFERROR(INDEX('2.3 Periodos'!$B$2:$B$61,MATCH(B55,'2.3 Periodos'!$A$2:$A$61,0)),"")</f>
        <v/>
      </c>
      <c r="I55" t="str">
        <f>IFERROR(INDEX('1.7 Sit Matricula'!$B$2:$B$61,MATCH(C55,'1.7 Sit Matricula'!$A$2:$A$61,0)),"")</f>
        <v/>
      </c>
      <c r="J55" t="str">
        <f>IFERROR(INDEX('4.1 Grupos Matricula'!$B$2:$B$61,MATCH(D55,'4.1 Grupos Matricula'!$A$2:$A$61,0)),"")</f>
        <v/>
      </c>
      <c r="K55" t="str">
        <f t="shared" si="3"/>
        <v/>
      </c>
    </row>
    <row r="56" spans="7:11" x14ac:dyDescent="0.35">
      <c r="G56" t="str">
        <f t="shared" si="2"/>
        <v/>
      </c>
      <c r="H56" t="str">
        <f>IFERROR(INDEX('2.3 Periodos'!$B$2:$B$61,MATCH(B56,'2.3 Periodos'!$A$2:$A$61,0)),"")</f>
        <v/>
      </c>
      <c r="I56" t="str">
        <f>IFERROR(INDEX('1.7 Sit Matricula'!$B$2:$B$61,MATCH(C56,'1.7 Sit Matricula'!$A$2:$A$61,0)),"")</f>
        <v/>
      </c>
      <c r="J56" t="str">
        <f>IFERROR(INDEX('4.1 Grupos Matricula'!$B$2:$B$61,MATCH(D56,'4.1 Grupos Matricula'!$A$2:$A$61,0)),"")</f>
        <v/>
      </c>
      <c r="K56" t="str">
        <f t="shared" si="3"/>
        <v/>
      </c>
    </row>
    <row r="57" spans="7:11" x14ac:dyDescent="0.35">
      <c r="G57" t="str">
        <f t="shared" si="2"/>
        <v/>
      </c>
      <c r="H57" t="str">
        <f>IFERROR(INDEX('2.3 Periodos'!$B$2:$B$61,MATCH(B57,'2.3 Periodos'!$A$2:$A$61,0)),"")</f>
        <v/>
      </c>
      <c r="I57" t="str">
        <f>IFERROR(INDEX('1.7 Sit Matricula'!$B$2:$B$61,MATCH(C57,'1.7 Sit Matricula'!$A$2:$A$61,0)),"")</f>
        <v/>
      </c>
      <c r="J57" t="str">
        <f>IFERROR(INDEX('4.1 Grupos Matricula'!$B$2:$B$61,MATCH(D57,'4.1 Grupos Matricula'!$A$2:$A$61,0)),"")</f>
        <v/>
      </c>
      <c r="K57" t="str">
        <f t="shared" si="3"/>
        <v/>
      </c>
    </row>
    <row r="58" spans="7:11" x14ac:dyDescent="0.35">
      <c r="G58" t="str">
        <f t="shared" si="2"/>
        <v/>
      </c>
      <c r="H58" t="str">
        <f>IFERROR(INDEX('2.3 Periodos'!$B$2:$B$61,MATCH(B58,'2.3 Periodos'!$A$2:$A$61,0)),"")</f>
        <v/>
      </c>
      <c r="I58" t="str">
        <f>IFERROR(INDEX('1.7 Sit Matricula'!$B$2:$B$61,MATCH(C58,'1.7 Sit Matricula'!$A$2:$A$61,0)),"")</f>
        <v/>
      </c>
      <c r="J58" t="str">
        <f>IFERROR(INDEX('4.1 Grupos Matricula'!$B$2:$B$61,MATCH(D58,'4.1 Grupos Matricula'!$A$2:$A$61,0)),"")</f>
        <v/>
      </c>
      <c r="K58" t="str">
        <f t="shared" si="3"/>
        <v/>
      </c>
    </row>
    <row r="59" spans="7:11" x14ac:dyDescent="0.35">
      <c r="G59" t="str">
        <f t="shared" si="2"/>
        <v/>
      </c>
      <c r="H59" t="str">
        <f>IFERROR(INDEX('2.3 Periodos'!$B$2:$B$61,MATCH(B59,'2.3 Periodos'!$A$2:$A$61,0)),"")</f>
        <v/>
      </c>
      <c r="I59" t="str">
        <f>IFERROR(INDEX('1.7 Sit Matricula'!$B$2:$B$61,MATCH(C59,'1.7 Sit Matricula'!$A$2:$A$61,0)),"")</f>
        <v/>
      </c>
      <c r="J59" t="str">
        <f>IFERROR(INDEX('4.1 Grupos Matricula'!$B$2:$B$61,MATCH(D59,'4.1 Grupos Matricula'!$A$2:$A$61,0)),"")</f>
        <v/>
      </c>
      <c r="K59" t="str">
        <f t="shared" si="3"/>
        <v/>
      </c>
    </row>
    <row r="60" spans="7:11" x14ac:dyDescent="0.35">
      <c r="G60" t="str">
        <f t="shared" si="2"/>
        <v/>
      </c>
      <c r="H60" t="str">
        <f>IFERROR(INDEX('2.3 Periodos'!$B$2:$B$61,MATCH(B60,'2.3 Periodos'!$A$2:$A$61,0)),"")</f>
        <v/>
      </c>
      <c r="I60" t="str">
        <f>IFERROR(INDEX('1.7 Sit Matricula'!$B$2:$B$61,MATCH(C60,'1.7 Sit Matricula'!$A$2:$A$61,0)),"")</f>
        <v/>
      </c>
      <c r="J60" t="str">
        <f>IFERROR(INDEX('4.1 Grupos Matricula'!$B$2:$B$61,MATCH(D60,'4.1 Grupos Matricula'!$A$2:$A$61,0)),"")</f>
        <v/>
      </c>
      <c r="K60" t="str">
        <f t="shared" si="3"/>
        <v/>
      </c>
    </row>
    <row r="61" spans="7:11" x14ac:dyDescent="0.35">
      <c r="G61" t="str">
        <f t="shared" si="2"/>
        <v/>
      </c>
      <c r="H61" t="str">
        <f>IFERROR(INDEX('2.3 Periodos'!$B$2:$B$61,MATCH(B61,'2.3 Periodos'!$A$2:$A$61,0)),"")</f>
        <v/>
      </c>
      <c r="I61" t="str">
        <f>IFERROR(INDEX('1.7 Sit Matricula'!$B$2:$B$61,MATCH(C61,'1.7 Sit Matricula'!$A$2:$A$61,0)),"")</f>
        <v/>
      </c>
      <c r="J61" t="str">
        <f>IFERROR(INDEX('4.1 Grupos Matricula'!$B$2:$B$61,MATCH(D61,'4.1 Grupos Matricula'!$A$2:$A$61,0)),"")</f>
        <v/>
      </c>
      <c r="K61" t="str">
        <f t="shared" si="3"/>
        <v/>
      </c>
    </row>
  </sheetData>
  <autoFilter ref="A1:E1"/>
  <conditionalFormatting sqref="A3:A61">
    <cfRule type="expression" dxfId="19" priority="2">
      <formula>AND($A3="",COUNTA($A3:$E3)&gt;0)</formula>
    </cfRule>
  </conditionalFormatting>
  <conditionalFormatting sqref="B3:B61">
    <cfRule type="expression" dxfId="18" priority="3">
      <formula>AND($B3="",COUNTA($A3:$E3)&gt;0)</formula>
    </cfRule>
  </conditionalFormatting>
  <conditionalFormatting sqref="C3:C61">
    <cfRule type="expression" dxfId="17" priority="4">
      <formula>AND($C3="",COUNTA($A3:$E3)&gt;0)</formula>
    </cfRule>
  </conditionalFormatting>
  <dataValidations count="1">
    <dataValidation type="decimal" operator="greaterThanOrEqual" allowBlank="1" error="Informe um número" sqref="E2:E61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>
          <x14:formula1>
            <xm:f>'4.2 Matriculas'!$H$2:$H$61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'2.3 Periodos'!$A$2:$A$61</xm:f>
          </x14:formula1>
          <x14:formula2>
            <xm:f>0</xm:f>
          </x14:formula2>
          <xm:sqref>B2:B61</xm:sqref>
        </x14:dataValidation>
        <x14:dataValidation type="list" allowBlank="1">
          <x14:formula1>
            <xm:f>'1.7 Sit Matricula'!$A$2:$A$61</xm:f>
          </x14:formula1>
          <x14:formula2>
            <xm:f>0</xm:f>
          </x14:formula2>
          <xm:sqref>C2:C61</xm:sqref>
        </x14:dataValidation>
        <x14:dataValidation type="list" allowBlank="1">
          <x14:formula1>
            <xm:f>'4.1 Grupos Matricula'!$A$2:$A$61</xm:f>
          </x14:formula1>
          <x14:formula2>
            <xm:f>0</xm:f>
          </x14:formula2>
          <xm:sqref>D2:D61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B2C6F"/>
  </sheetPr>
  <dimension ref="A1:S61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16" customWidth="1"/>
    <col min="2" max="2" width="20" customWidth="1"/>
    <col min="3" max="3" width="26" customWidth="1"/>
    <col min="4" max="6" width="14" customWidth="1"/>
    <col min="7" max="7" width="20" customWidth="1"/>
    <col min="8" max="8" width="16" customWidth="1"/>
    <col min="9" max="9" width="18" customWidth="1"/>
    <col min="11" max="19" width="16" hidden="1" customWidth="1"/>
  </cols>
  <sheetData>
    <row r="1" spans="1:19" ht="31.5" customHeight="1" x14ac:dyDescent="0.35">
      <c r="A1" s="17" t="s">
        <v>209</v>
      </c>
      <c r="B1" s="17" t="s">
        <v>184</v>
      </c>
      <c r="C1" s="17" t="s">
        <v>151</v>
      </c>
      <c r="D1" s="17" t="s">
        <v>163</v>
      </c>
      <c r="E1" s="17" t="s">
        <v>134</v>
      </c>
      <c r="F1" s="17" t="s">
        <v>135</v>
      </c>
      <c r="G1" s="17" t="s">
        <v>211</v>
      </c>
      <c r="H1" s="17" t="s">
        <v>212</v>
      </c>
      <c r="I1" s="17" t="s">
        <v>87</v>
      </c>
      <c r="K1" s="10" t="s">
        <v>210</v>
      </c>
      <c r="L1" s="10" t="s">
        <v>186</v>
      </c>
      <c r="M1" s="10" t="s">
        <v>156</v>
      </c>
      <c r="N1" s="10" t="s">
        <v>170</v>
      </c>
      <c r="O1" s="10" t="s">
        <v>138</v>
      </c>
      <c r="P1" s="10" t="s">
        <v>139</v>
      </c>
      <c r="Q1" s="10" t="s">
        <v>213</v>
      </c>
      <c r="R1" s="10" t="s">
        <v>214</v>
      </c>
      <c r="S1" s="10" t="s">
        <v>215</v>
      </c>
    </row>
    <row r="2" spans="1:19" x14ac:dyDescent="0.35">
      <c r="A2" s="11" t="s">
        <v>208</v>
      </c>
      <c r="B2" s="11" t="s">
        <v>178</v>
      </c>
      <c r="C2" s="11" t="s">
        <v>149</v>
      </c>
      <c r="D2" s="11" t="s">
        <v>140</v>
      </c>
      <c r="E2" s="14" t="s">
        <v>142</v>
      </c>
      <c r="F2" s="14"/>
      <c r="G2" s="11" t="s">
        <v>61</v>
      </c>
      <c r="H2" s="11" t="s">
        <v>65</v>
      </c>
      <c r="I2" s="11" t="s">
        <v>216</v>
      </c>
      <c r="K2" t="str">
        <f t="shared" ref="K2:K33" si="0">IF(A2="","",A2)</f>
        <v>ENR-001</v>
      </c>
      <c r="L2" t="str">
        <f t="shared" ref="L2:L33" si="1">IF(B2="","",B2)</f>
        <v>TURDISC-001</v>
      </c>
      <c r="M2" t="str">
        <f>IFERROR(INDEX('2.4 Curriculos'!$C$2:$C$61,MATCH(C2,'2.4 Curriculos'!$B$2:$B$61,0)),"")</f>
        <v>CR-001</v>
      </c>
      <c r="N2" t="str">
        <f>IFERROR(INDEX('2.3 Periodos'!$B$2:$B$61,MATCH(D2,'2.3 Periodos'!$A$2:$A$61,0)),"")</f>
        <v>PER-001</v>
      </c>
      <c r="O2" t="str">
        <f t="shared" ref="O2:O33" si="2">IF(E2="","",TEXT(E2,"yyyy-mm-dd"))</f>
        <v>yyyy-01-01</v>
      </c>
      <c r="P2" t="str">
        <f t="shared" ref="P2:P33" si="3">IF(F2="","",TEXT(F2,"yyyy-mm-dd"))</f>
        <v/>
      </c>
      <c r="Q2" t="str">
        <f>IFERROR(INDEX('1.8 Sit Enturmacao'!$B$2:$B$61,MATCH(G2,'1.8 Sit Enturmacao'!$A$2:$A$61,0)),"")</f>
        <v>STATUSENT-001</v>
      </c>
      <c r="R2" t="str">
        <f>IFERROR(INDEX('1.9 Tipos Matricula'!$B$2:$B$61,MATCH(H2,'1.9 Tipos Matricula'!$A$2:$A$61,0)),"")</f>
        <v>TYPE-001</v>
      </c>
      <c r="S2" t="str">
        <f t="shared" ref="S2:S33" si="4">IF(I2="","",I2)</f>
        <v>regular,ativo</v>
      </c>
    </row>
    <row r="3" spans="1:19" x14ac:dyDescent="0.35">
      <c r="E3" s="15"/>
      <c r="F3" s="15"/>
      <c r="K3" t="str">
        <f t="shared" si="0"/>
        <v/>
      </c>
      <c r="L3" t="str">
        <f t="shared" si="1"/>
        <v/>
      </c>
      <c r="M3" t="str">
        <f>IFERROR(INDEX('2.4 Curriculos'!$C$2:$C$61,MATCH(C3,'2.4 Curriculos'!$B$2:$B$61,0)),"")</f>
        <v/>
      </c>
      <c r="N3" t="str">
        <f>IFERROR(INDEX('2.3 Periodos'!$B$2:$B$61,MATCH(D3,'2.3 Periodos'!$A$2:$A$61,0)),"")</f>
        <v/>
      </c>
      <c r="O3" t="str">
        <f t="shared" si="2"/>
        <v/>
      </c>
      <c r="P3" t="str">
        <f t="shared" si="3"/>
        <v/>
      </c>
      <c r="Q3" t="str">
        <f>IFERROR(INDEX('1.8 Sit Enturmacao'!$B$2:$B$61,MATCH(G3,'1.8 Sit Enturmacao'!$A$2:$A$61,0)),"")</f>
        <v/>
      </c>
      <c r="R3" t="str">
        <f>IFERROR(INDEX('1.9 Tipos Matricula'!$B$2:$B$61,MATCH(H3,'1.9 Tipos Matricula'!$A$2:$A$61,0)),"")</f>
        <v/>
      </c>
      <c r="S3" t="str">
        <f t="shared" si="4"/>
        <v/>
      </c>
    </row>
    <row r="4" spans="1:19" x14ac:dyDescent="0.35">
      <c r="E4" s="15"/>
      <c r="F4" s="15"/>
      <c r="K4" t="str">
        <f t="shared" si="0"/>
        <v/>
      </c>
      <c r="L4" t="str">
        <f t="shared" si="1"/>
        <v/>
      </c>
      <c r="M4" t="str">
        <f>IFERROR(INDEX('2.4 Curriculos'!$C$2:$C$61,MATCH(C4,'2.4 Curriculos'!$B$2:$B$61,0)),"")</f>
        <v/>
      </c>
      <c r="N4" t="str">
        <f>IFERROR(INDEX('2.3 Periodos'!$B$2:$B$61,MATCH(D4,'2.3 Periodos'!$A$2:$A$61,0)),"")</f>
        <v/>
      </c>
      <c r="O4" t="str">
        <f t="shared" si="2"/>
        <v/>
      </c>
      <c r="P4" t="str">
        <f t="shared" si="3"/>
        <v/>
      </c>
      <c r="Q4" t="str">
        <f>IFERROR(INDEX('1.8 Sit Enturmacao'!$B$2:$B$61,MATCH(G4,'1.8 Sit Enturmacao'!$A$2:$A$61,0)),"")</f>
        <v/>
      </c>
      <c r="R4" t="str">
        <f>IFERROR(INDEX('1.9 Tipos Matricula'!$B$2:$B$61,MATCH(H4,'1.9 Tipos Matricula'!$A$2:$A$61,0)),"")</f>
        <v/>
      </c>
      <c r="S4" t="str">
        <f t="shared" si="4"/>
        <v/>
      </c>
    </row>
    <row r="5" spans="1:19" x14ac:dyDescent="0.35">
      <c r="E5" s="15"/>
      <c r="F5" s="15"/>
      <c r="K5" t="str">
        <f t="shared" si="0"/>
        <v/>
      </c>
      <c r="L5" t="str">
        <f t="shared" si="1"/>
        <v/>
      </c>
      <c r="M5" t="str">
        <f>IFERROR(INDEX('2.4 Curriculos'!$C$2:$C$61,MATCH(C5,'2.4 Curriculos'!$B$2:$B$61,0)),"")</f>
        <v/>
      </c>
      <c r="N5" t="str">
        <f>IFERROR(INDEX('2.3 Periodos'!$B$2:$B$61,MATCH(D5,'2.3 Periodos'!$A$2:$A$61,0)),"")</f>
        <v/>
      </c>
      <c r="O5" t="str">
        <f t="shared" si="2"/>
        <v/>
      </c>
      <c r="P5" t="str">
        <f t="shared" si="3"/>
        <v/>
      </c>
      <c r="Q5" t="str">
        <f>IFERROR(INDEX('1.8 Sit Enturmacao'!$B$2:$B$61,MATCH(G5,'1.8 Sit Enturmacao'!$A$2:$A$61,0)),"")</f>
        <v/>
      </c>
      <c r="R5" t="str">
        <f>IFERROR(INDEX('1.9 Tipos Matricula'!$B$2:$B$61,MATCH(H5,'1.9 Tipos Matricula'!$A$2:$A$61,0)),"")</f>
        <v/>
      </c>
      <c r="S5" t="str">
        <f t="shared" si="4"/>
        <v/>
      </c>
    </row>
    <row r="6" spans="1:19" x14ac:dyDescent="0.35">
      <c r="E6" s="15"/>
      <c r="F6" s="15"/>
      <c r="K6" t="str">
        <f t="shared" si="0"/>
        <v/>
      </c>
      <c r="L6" t="str">
        <f t="shared" si="1"/>
        <v/>
      </c>
      <c r="M6" t="str">
        <f>IFERROR(INDEX('2.4 Curriculos'!$C$2:$C$61,MATCH(C6,'2.4 Curriculos'!$B$2:$B$61,0)),"")</f>
        <v/>
      </c>
      <c r="N6" t="str">
        <f>IFERROR(INDEX('2.3 Periodos'!$B$2:$B$61,MATCH(D6,'2.3 Periodos'!$A$2:$A$61,0)),"")</f>
        <v/>
      </c>
      <c r="O6" t="str">
        <f t="shared" si="2"/>
        <v/>
      </c>
      <c r="P6" t="str">
        <f t="shared" si="3"/>
        <v/>
      </c>
      <c r="Q6" t="str">
        <f>IFERROR(INDEX('1.8 Sit Enturmacao'!$B$2:$B$61,MATCH(G6,'1.8 Sit Enturmacao'!$A$2:$A$61,0)),"")</f>
        <v/>
      </c>
      <c r="R6" t="str">
        <f>IFERROR(INDEX('1.9 Tipos Matricula'!$B$2:$B$61,MATCH(H6,'1.9 Tipos Matricula'!$A$2:$A$61,0)),"")</f>
        <v/>
      </c>
      <c r="S6" t="str">
        <f t="shared" si="4"/>
        <v/>
      </c>
    </row>
    <row r="7" spans="1:19" x14ac:dyDescent="0.35">
      <c r="E7" s="15"/>
      <c r="F7" s="15"/>
      <c r="K7" t="str">
        <f t="shared" si="0"/>
        <v/>
      </c>
      <c r="L7" t="str">
        <f t="shared" si="1"/>
        <v/>
      </c>
      <c r="M7" t="str">
        <f>IFERROR(INDEX('2.4 Curriculos'!$C$2:$C$61,MATCH(C7,'2.4 Curriculos'!$B$2:$B$61,0)),"")</f>
        <v/>
      </c>
      <c r="N7" t="str">
        <f>IFERROR(INDEX('2.3 Periodos'!$B$2:$B$61,MATCH(D7,'2.3 Periodos'!$A$2:$A$61,0)),"")</f>
        <v/>
      </c>
      <c r="O7" t="str">
        <f t="shared" si="2"/>
        <v/>
      </c>
      <c r="P7" t="str">
        <f t="shared" si="3"/>
        <v/>
      </c>
      <c r="Q7" t="str">
        <f>IFERROR(INDEX('1.8 Sit Enturmacao'!$B$2:$B$61,MATCH(G7,'1.8 Sit Enturmacao'!$A$2:$A$61,0)),"")</f>
        <v/>
      </c>
      <c r="R7" t="str">
        <f>IFERROR(INDEX('1.9 Tipos Matricula'!$B$2:$B$61,MATCH(H7,'1.9 Tipos Matricula'!$A$2:$A$61,0)),"")</f>
        <v/>
      </c>
      <c r="S7" t="str">
        <f t="shared" si="4"/>
        <v/>
      </c>
    </row>
    <row r="8" spans="1:19" x14ac:dyDescent="0.35">
      <c r="E8" s="15"/>
      <c r="F8" s="15"/>
      <c r="K8" t="str">
        <f t="shared" si="0"/>
        <v/>
      </c>
      <c r="L8" t="str">
        <f t="shared" si="1"/>
        <v/>
      </c>
      <c r="M8" t="str">
        <f>IFERROR(INDEX('2.4 Curriculos'!$C$2:$C$61,MATCH(C8,'2.4 Curriculos'!$B$2:$B$61,0)),"")</f>
        <v/>
      </c>
      <c r="N8" t="str">
        <f>IFERROR(INDEX('2.3 Periodos'!$B$2:$B$61,MATCH(D8,'2.3 Periodos'!$A$2:$A$61,0)),"")</f>
        <v/>
      </c>
      <c r="O8" t="str">
        <f t="shared" si="2"/>
        <v/>
      </c>
      <c r="P8" t="str">
        <f t="shared" si="3"/>
        <v/>
      </c>
      <c r="Q8" t="str">
        <f>IFERROR(INDEX('1.8 Sit Enturmacao'!$B$2:$B$61,MATCH(G8,'1.8 Sit Enturmacao'!$A$2:$A$61,0)),"")</f>
        <v/>
      </c>
      <c r="R8" t="str">
        <f>IFERROR(INDEX('1.9 Tipos Matricula'!$B$2:$B$61,MATCH(H8,'1.9 Tipos Matricula'!$A$2:$A$61,0)),"")</f>
        <v/>
      </c>
      <c r="S8" t="str">
        <f t="shared" si="4"/>
        <v/>
      </c>
    </row>
    <row r="9" spans="1:19" x14ac:dyDescent="0.35">
      <c r="E9" s="15"/>
      <c r="F9" s="15"/>
      <c r="K9" t="str">
        <f t="shared" si="0"/>
        <v/>
      </c>
      <c r="L9" t="str">
        <f t="shared" si="1"/>
        <v/>
      </c>
      <c r="M9" t="str">
        <f>IFERROR(INDEX('2.4 Curriculos'!$C$2:$C$61,MATCH(C9,'2.4 Curriculos'!$B$2:$B$61,0)),"")</f>
        <v/>
      </c>
      <c r="N9" t="str">
        <f>IFERROR(INDEX('2.3 Periodos'!$B$2:$B$61,MATCH(D9,'2.3 Periodos'!$A$2:$A$61,0)),"")</f>
        <v/>
      </c>
      <c r="O9" t="str">
        <f t="shared" si="2"/>
        <v/>
      </c>
      <c r="P9" t="str">
        <f t="shared" si="3"/>
        <v/>
      </c>
      <c r="Q9" t="str">
        <f>IFERROR(INDEX('1.8 Sit Enturmacao'!$B$2:$B$61,MATCH(G9,'1.8 Sit Enturmacao'!$A$2:$A$61,0)),"")</f>
        <v/>
      </c>
      <c r="R9" t="str">
        <f>IFERROR(INDEX('1.9 Tipos Matricula'!$B$2:$B$61,MATCH(H9,'1.9 Tipos Matricula'!$A$2:$A$61,0)),"")</f>
        <v/>
      </c>
      <c r="S9" t="str">
        <f t="shared" si="4"/>
        <v/>
      </c>
    </row>
    <row r="10" spans="1:19" x14ac:dyDescent="0.35">
      <c r="E10" s="15"/>
      <c r="F10" s="15"/>
      <c r="K10" t="str">
        <f t="shared" si="0"/>
        <v/>
      </c>
      <c r="L10" t="str">
        <f t="shared" si="1"/>
        <v/>
      </c>
      <c r="M10" t="str">
        <f>IFERROR(INDEX('2.4 Curriculos'!$C$2:$C$61,MATCH(C10,'2.4 Curriculos'!$B$2:$B$61,0)),"")</f>
        <v/>
      </c>
      <c r="N10" t="str">
        <f>IFERROR(INDEX('2.3 Periodos'!$B$2:$B$61,MATCH(D10,'2.3 Periodos'!$A$2:$A$61,0)),"")</f>
        <v/>
      </c>
      <c r="O10" t="str">
        <f t="shared" si="2"/>
        <v/>
      </c>
      <c r="P10" t="str">
        <f t="shared" si="3"/>
        <v/>
      </c>
      <c r="Q10" t="str">
        <f>IFERROR(INDEX('1.8 Sit Enturmacao'!$B$2:$B$61,MATCH(G10,'1.8 Sit Enturmacao'!$A$2:$A$61,0)),"")</f>
        <v/>
      </c>
      <c r="R10" t="str">
        <f>IFERROR(INDEX('1.9 Tipos Matricula'!$B$2:$B$61,MATCH(H10,'1.9 Tipos Matricula'!$A$2:$A$61,0)),"")</f>
        <v/>
      </c>
      <c r="S10" t="str">
        <f t="shared" si="4"/>
        <v/>
      </c>
    </row>
    <row r="11" spans="1:19" x14ac:dyDescent="0.35">
      <c r="E11" s="15"/>
      <c r="F11" s="15"/>
      <c r="K11" t="str">
        <f t="shared" si="0"/>
        <v/>
      </c>
      <c r="L11" t="str">
        <f t="shared" si="1"/>
        <v/>
      </c>
      <c r="M11" t="str">
        <f>IFERROR(INDEX('2.4 Curriculos'!$C$2:$C$61,MATCH(C11,'2.4 Curriculos'!$B$2:$B$61,0)),"")</f>
        <v/>
      </c>
      <c r="N11" t="str">
        <f>IFERROR(INDEX('2.3 Periodos'!$B$2:$B$61,MATCH(D11,'2.3 Periodos'!$A$2:$A$61,0)),"")</f>
        <v/>
      </c>
      <c r="O11" t="str">
        <f t="shared" si="2"/>
        <v/>
      </c>
      <c r="P11" t="str">
        <f t="shared" si="3"/>
        <v/>
      </c>
      <c r="Q11" t="str">
        <f>IFERROR(INDEX('1.8 Sit Enturmacao'!$B$2:$B$61,MATCH(G11,'1.8 Sit Enturmacao'!$A$2:$A$61,0)),"")</f>
        <v/>
      </c>
      <c r="R11" t="str">
        <f>IFERROR(INDEX('1.9 Tipos Matricula'!$B$2:$B$61,MATCH(H11,'1.9 Tipos Matricula'!$A$2:$A$61,0)),"")</f>
        <v/>
      </c>
      <c r="S11" t="str">
        <f t="shared" si="4"/>
        <v/>
      </c>
    </row>
    <row r="12" spans="1:19" x14ac:dyDescent="0.35">
      <c r="E12" s="15"/>
      <c r="F12" s="15"/>
      <c r="K12" t="str">
        <f t="shared" si="0"/>
        <v/>
      </c>
      <c r="L12" t="str">
        <f t="shared" si="1"/>
        <v/>
      </c>
      <c r="M12" t="str">
        <f>IFERROR(INDEX('2.4 Curriculos'!$C$2:$C$61,MATCH(C12,'2.4 Curriculos'!$B$2:$B$61,0)),"")</f>
        <v/>
      </c>
      <c r="N12" t="str">
        <f>IFERROR(INDEX('2.3 Periodos'!$B$2:$B$61,MATCH(D12,'2.3 Periodos'!$A$2:$A$61,0)),"")</f>
        <v/>
      </c>
      <c r="O12" t="str">
        <f t="shared" si="2"/>
        <v/>
      </c>
      <c r="P12" t="str">
        <f t="shared" si="3"/>
        <v/>
      </c>
      <c r="Q12" t="str">
        <f>IFERROR(INDEX('1.8 Sit Enturmacao'!$B$2:$B$61,MATCH(G12,'1.8 Sit Enturmacao'!$A$2:$A$61,0)),"")</f>
        <v/>
      </c>
      <c r="R12" t="str">
        <f>IFERROR(INDEX('1.9 Tipos Matricula'!$B$2:$B$61,MATCH(H12,'1.9 Tipos Matricula'!$A$2:$A$61,0)),"")</f>
        <v/>
      </c>
      <c r="S12" t="str">
        <f t="shared" si="4"/>
        <v/>
      </c>
    </row>
    <row r="13" spans="1:19" x14ac:dyDescent="0.35">
      <c r="E13" s="15"/>
      <c r="F13" s="15"/>
      <c r="K13" t="str">
        <f t="shared" si="0"/>
        <v/>
      </c>
      <c r="L13" t="str">
        <f t="shared" si="1"/>
        <v/>
      </c>
      <c r="M13" t="str">
        <f>IFERROR(INDEX('2.4 Curriculos'!$C$2:$C$61,MATCH(C13,'2.4 Curriculos'!$B$2:$B$61,0)),"")</f>
        <v/>
      </c>
      <c r="N13" t="str">
        <f>IFERROR(INDEX('2.3 Periodos'!$B$2:$B$61,MATCH(D13,'2.3 Periodos'!$A$2:$A$61,0)),"")</f>
        <v/>
      </c>
      <c r="O13" t="str">
        <f t="shared" si="2"/>
        <v/>
      </c>
      <c r="P13" t="str">
        <f t="shared" si="3"/>
        <v/>
      </c>
      <c r="Q13" t="str">
        <f>IFERROR(INDEX('1.8 Sit Enturmacao'!$B$2:$B$61,MATCH(G13,'1.8 Sit Enturmacao'!$A$2:$A$61,0)),"")</f>
        <v/>
      </c>
      <c r="R13" t="str">
        <f>IFERROR(INDEX('1.9 Tipos Matricula'!$B$2:$B$61,MATCH(H13,'1.9 Tipos Matricula'!$A$2:$A$61,0)),"")</f>
        <v/>
      </c>
      <c r="S13" t="str">
        <f t="shared" si="4"/>
        <v/>
      </c>
    </row>
    <row r="14" spans="1:19" x14ac:dyDescent="0.35">
      <c r="E14" s="15"/>
      <c r="F14" s="15"/>
      <c r="K14" t="str">
        <f t="shared" si="0"/>
        <v/>
      </c>
      <c r="L14" t="str">
        <f t="shared" si="1"/>
        <v/>
      </c>
      <c r="M14" t="str">
        <f>IFERROR(INDEX('2.4 Curriculos'!$C$2:$C$61,MATCH(C14,'2.4 Curriculos'!$B$2:$B$61,0)),"")</f>
        <v/>
      </c>
      <c r="N14" t="str">
        <f>IFERROR(INDEX('2.3 Periodos'!$B$2:$B$61,MATCH(D14,'2.3 Periodos'!$A$2:$A$61,0)),"")</f>
        <v/>
      </c>
      <c r="O14" t="str">
        <f t="shared" si="2"/>
        <v/>
      </c>
      <c r="P14" t="str">
        <f t="shared" si="3"/>
        <v/>
      </c>
      <c r="Q14" t="str">
        <f>IFERROR(INDEX('1.8 Sit Enturmacao'!$B$2:$B$61,MATCH(G14,'1.8 Sit Enturmacao'!$A$2:$A$61,0)),"")</f>
        <v/>
      </c>
      <c r="R14" t="str">
        <f>IFERROR(INDEX('1.9 Tipos Matricula'!$B$2:$B$61,MATCH(H14,'1.9 Tipos Matricula'!$A$2:$A$61,0)),"")</f>
        <v/>
      </c>
      <c r="S14" t="str">
        <f t="shared" si="4"/>
        <v/>
      </c>
    </row>
    <row r="15" spans="1:19" x14ac:dyDescent="0.35">
      <c r="E15" s="15"/>
      <c r="F15" s="15"/>
      <c r="K15" t="str">
        <f t="shared" si="0"/>
        <v/>
      </c>
      <c r="L15" t="str">
        <f t="shared" si="1"/>
        <v/>
      </c>
      <c r="M15" t="str">
        <f>IFERROR(INDEX('2.4 Curriculos'!$C$2:$C$61,MATCH(C15,'2.4 Curriculos'!$B$2:$B$61,0)),"")</f>
        <v/>
      </c>
      <c r="N15" t="str">
        <f>IFERROR(INDEX('2.3 Periodos'!$B$2:$B$61,MATCH(D15,'2.3 Periodos'!$A$2:$A$61,0)),"")</f>
        <v/>
      </c>
      <c r="O15" t="str">
        <f t="shared" si="2"/>
        <v/>
      </c>
      <c r="P15" t="str">
        <f t="shared" si="3"/>
        <v/>
      </c>
      <c r="Q15" t="str">
        <f>IFERROR(INDEX('1.8 Sit Enturmacao'!$B$2:$B$61,MATCH(G15,'1.8 Sit Enturmacao'!$A$2:$A$61,0)),"")</f>
        <v/>
      </c>
      <c r="R15" t="str">
        <f>IFERROR(INDEX('1.9 Tipos Matricula'!$B$2:$B$61,MATCH(H15,'1.9 Tipos Matricula'!$A$2:$A$61,0)),"")</f>
        <v/>
      </c>
      <c r="S15" t="str">
        <f t="shared" si="4"/>
        <v/>
      </c>
    </row>
    <row r="16" spans="1:19" x14ac:dyDescent="0.35">
      <c r="E16" s="15"/>
      <c r="F16" s="15"/>
      <c r="K16" t="str">
        <f t="shared" si="0"/>
        <v/>
      </c>
      <c r="L16" t="str">
        <f t="shared" si="1"/>
        <v/>
      </c>
      <c r="M16" t="str">
        <f>IFERROR(INDEX('2.4 Curriculos'!$C$2:$C$61,MATCH(C16,'2.4 Curriculos'!$B$2:$B$61,0)),"")</f>
        <v/>
      </c>
      <c r="N16" t="str">
        <f>IFERROR(INDEX('2.3 Periodos'!$B$2:$B$61,MATCH(D16,'2.3 Periodos'!$A$2:$A$61,0)),"")</f>
        <v/>
      </c>
      <c r="O16" t="str">
        <f t="shared" si="2"/>
        <v/>
      </c>
      <c r="P16" t="str">
        <f t="shared" si="3"/>
        <v/>
      </c>
      <c r="Q16" t="str">
        <f>IFERROR(INDEX('1.8 Sit Enturmacao'!$B$2:$B$61,MATCH(G16,'1.8 Sit Enturmacao'!$A$2:$A$61,0)),"")</f>
        <v/>
      </c>
      <c r="R16" t="str">
        <f>IFERROR(INDEX('1.9 Tipos Matricula'!$B$2:$B$61,MATCH(H16,'1.9 Tipos Matricula'!$A$2:$A$61,0)),"")</f>
        <v/>
      </c>
      <c r="S16" t="str">
        <f t="shared" si="4"/>
        <v/>
      </c>
    </row>
    <row r="17" spans="5:19" x14ac:dyDescent="0.35">
      <c r="E17" s="15"/>
      <c r="F17" s="15"/>
      <c r="K17" t="str">
        <f t="shared" si="0"/>
        <v/>
      </c>
      <c r="L17" t="str">
        <f t="shared" si="1"/>
        <v/>
      </c>
      <c r="M17" t="str">
        <f>IFERROR(INDEX('2.4 Curriculos'!$C$2:$C$61,MATCH(C17,'2.4 Curriculos'!$B$2:$B$61,0)),"")</f>
        <v/>
      </c>
      <c r="N17" t="str">
        <f>IFERROR(INDEX('2.3 Periodos'!$B$2:$B$61,MATCH(D17,'2.3 Periodos'!$A$2:$A$61,0)),"")</f>
        <v/>
      </c>
      <c r="O17" t="str">
        <f t="shared" si="2"/>
        <v/>
      </c>
      <c r="P17" t="str">
        <f t="shared" si="3"/>
        <v/>
      </c>
      <c r="Q17" t="str">
        <f>IFERROR(INDEX('1.8 Sit Enturmacao'!$B$2:$B$61,MATCH(G17,'1.8 Sit Enturmacao'!$A$2:$A$61,0)),"")</f>
        <v/>
      </c>
      <c r="R17" t="str">
        <f>IFERROR(INDEX('1.9 Tipos Matricula'!$B$2:$B$61,MATCH(H17,'1.9 Tipos Matricula'!$A$2:$A$61,0)),"")</f>
        <v/>
      </c>
      <c r="S17" t="str">
        <f t="shared" si="4"/>
        <v/>
      </c>
    </row>
    <row r="18" spans="5:19" x14ac:dyDescent="0.35">
      <c r="E18" s="15"/>
      <c r="F18" s="15"/>
      <c r="K18" t="str">
        <f t="shared" si="0"/>
        <v/>
      </c>
      <c r="L18" t="str">
        <f t="shared" si="1"/>
        <v/>
      </c>
      <c r="M18" t="str">
        <f>IFERROR(INDEX('2.4 Curriculos'!$C$2:$C$61,MATCH(C18,'2.4 Curriculos'!$B$2:$B$61,0)),"")</f>
        <v/>
      </c>
      <c r="N18" t="str">
        <f>IFERROR(INDEX('2.3 Periodos'!$B$2:$B$61,MATCH(D18,'2.3 Periodos'!$A$2:$A$61,0)),"")</f>
        <v/>
      </c>
      <c r="O18" t="str">
        <f t="shared" si="2"/>
        <v/>
      </c>
      <c r="P18" t="str">
        <f t="shared" si="3"/>
        <v/>
      </c>
      <c r="Q18" t="str">
        <f>IFERROR(INDEX('1.8 Sit Enturmacao'!$B$2:$B$61,MATCH(G18,'1.8 Sit Enturmacao'!$A$2:$A$61,0)),"")</f>
        <v/>
      </c>
      <c r="R18" t="str">
        <f>IFERROR(INDEX('1.9 Tipos Matricula'!$B$2:$B$61,MATCH(H18,'1.9 Tipos Matricula'!$A$2:$A$61,0)),"")</f>
        <v/>
      </c>
      <c r="S18" t="str">
        <f t="shared" si="4"/>
        <v/>
      </c>
    </row>
    <row r="19" spans="5:19" x14ac:dyDescent="0.35">
      <c r="E19" s="15"/>
      <c r="F19" s="15"/>
      <c r="K19" t="str">
        <f t="shared" si="0"/>
        <v/>
      </c>
      <c r="L19" t="str">
        <f t="shared" si="1"/>
        <v/>
      </c>
      <c r="M19" t="str">
        <f>IFERROR(INDEX('2.4 Curriculos'!$C$2:$C$61,MATCH(C19,'2.4 Curriculos'!$B$2:$B$61,0)),"")</f>
        <v/>
      </c>
      <c r="N19" t="str">
        <f>IFERROR(INDEX('2.3 Periodos'!$B$2:$B$61,MATCH(D19,'2.3 Periodos'!$A$2:$A$61,0)),"")</f>
        <v/>
      </c>
      <c r="O19" t="str">
        <f t="shared" si="2"/>
        <v/>
      </c>
      <c r="P19" t="str">
        <f t="shared" si="3"/>
        <v/>
      </c>
      <c r="Q19" t="str">
        <f>IFERROR(INDEX('1.8 Sit Enturmacao'!$B$2:$B$61,MATCH(G19,'1.8 Sit Enturmacao'!$A$2:$A$61,0)),"")</f>
        <v/>
      </c>
      <c r="R19" t="str">
        <f>IFERROR(INDEX('1.9 Tipos Matricula'!$B$2:$B$61,MATCH(H19,'1.9 Tipos Matricula'!$A$2:$A$61,0)),"")</f>
        <v/>
      </c>
      <c r="S19" t="str">
        <f t="shared" si="4"/>
        <v/>
      </c>
    </row>
    <row r="20" spans="5:19" x14ac:dyDescent="0.35">
      <c r="E20" s="15"/>
      <c r="F20" s="15"/>
      <c r="K20" t="str">
        <f t="shared" si="0"/>
        <v/>
      </c>
      <c r="L20" t="str">
        <f t="shared" si="1"/>
        <v/>
      </c>
      <c r="M20" t="str">
        <f>IFERROR(INDEX('2.4 Curriculos'!$C$2:$C$61,MATCH(C20,'2.4 Curriculos'!$B$2:$B$61,0)),"")</f>
        <v/>
      </c>
      <c r="N20" t="str">
        <f>IFERROR(INDEX('2.3 Periodos'!$B$2:$B$61,MATCH(D20,'2.3 Periodos'!$A$2:$A$61,0)),"")</f>
        <v/>
      </c>
      <c r="O20" t="str">
        <f t="shared" si="2"/>
        <v/>
      </c>
      <c r="P20" t="str">
        <f t="shared" si="3"/>
        <v/>
      </c>
      <c r="Q20" t="str">
        <f>IFERROR(INDEX('1.8 Sit Enturmacao'!$B$2:$B$61,MATCH(G20,'1.8 Sit Enturmacao'!$A$2:$A$61,0)),"")</f>
        <v/>
      </c>
      <c r="R20" t="str">
        <f>IFERROR(INDEX('1.9 Tipos Matricula'!$B$2:$B$61,MATCH(H20,'1.9 Tipos Matricula'!$A$2:$A$61,0)),"")</f>
        <v/>
      </c>
      <c r="S20" t="str">
        <f t="shared" si="4"/>
        <v/>
      </c>
    </row>
    <row r="21" spans="5:19" x14ac:dyDescent="0.35">
      <c r="E21" s="15"/>
      <c r="F21" s="15"/>
      <c r="K21" t="str">
        <f t="shared" si="0"/>
        <v/>
      </c>
      <c r="L21" t="str">
        <f t="shared" si="1"/>
        <v/>
      </c>
      <c r="M21" t="str">
        <f>IFERROR(INDEX('2.4 Curriculos'!$C$2:$C$61,MATCH(C21,'2.4 Curriculos'!$B$2:$B$61,0)),"")</f>
        <v/>
      </c>
      <c r="N21" t="str">
        <f>IFERROR(INDEX('2.3 Periodos'!$B$2:$B$61,MATCH(D21,'2.3 Periodos'!$A$2:$A$61,0)),"")</f>
        <v/>
      </c>
      <c r="O21" t="str">
        <f t="shared" si="2"/>
        <v/>
      </c>
      <c r="P21" t="str">
        <f t="shared" si="3"/>
        <v/>
      </c>
      <c r="Q21" t="str">
        <f>IFERROR(INDEX('1.8 Sit Enturmacao'!$B$2:$B$61,MATCH(G21,'1.8 Sit Enturmacao'!$A$2:$A$61,0)),"")</f>
        <v/>
      </c>
      <c r="R21" t="str">
        <f>IFERROR(INDEX('1.9 Tipos Matricula'!$B$2:$B$61,MATCH(H21,'1.9 Tipos Matricula'!$A$2:$A$61,0)),"")</f>
        <v/>
      </c>
      <c r="S21" t="str">
        <f t="shared" si="4"/>
        <v/>
      </c>
    </row>
    <row r="22" spans="5:19" x14ac:dyDescent="0.35">
      <c r="E22" s="15"/>
      <c r="F22" s="15"/>
      <c r="K22" t="str">
        <f t="shared" si="0"/>
        <v/>
      </c>
      <c r="L22" t="str">
        <f t="shared" si="1"/>
        <v/>
      </c>
      <c r="M22" t="str">
        <f>IFERROR(INDEX('2.4 Curriculos'!$C$2:$C$61,MATCH(C22,'2.4 Curriculos'!$B$2:$B$61,0)),"")</f>
        <v/>
      </c>
      <c r="N22" t="str">
        <f>IFERROR(INDEX('2.3 Periodos'!$B$2:$B$61,MATCH(D22,'2.3 Periodos'!$A$2:$A$61,0)),"")</f>
        <v/>
      </c>
      <c r="O22" t="str">
        <f t="shared" si="2"/>
        <v/>
      </c>
      <c r="P22" t="str">
        <f t="shared" si="3"/>
        <v/>
      </c>
      <c r="Q22" t="str">
        <f>IFERROR(INDEX('1.8 Sit Enturmacao'!$B$2:$B$61,MATCH(G22,'1.8 Sit Enturmacao'!$A$2:$A$61,0)),"")</f>
        <v/>
      </c>
      <c r="R22" t="str">
        <f>IFERROR(INDEX('1.9 Tipos Matricula'!$B$2:$B$61,MATCH(H22,'1.9 Tipos Matricula'!$A$2:$A$61,0)),"")</f>
        <v/>
      </c>
      <c r="S22" t="str">
        <f t="shared" si="4"/>
        <v/>
      </c>
    </row>
    <row r="23" spans="5:19" x14ac:dyDescent="0.35">
      <c r="E23" s="15"/>
      <c r="F23" s="15"/>
      <c r="K23" t="str">
        <f t="shared" si="0"/>
        <v/>
      </c>
      <c r="L23" t="str">
        <f t="shared" si="1"/>
        <v/>
      </c>
      <c r="M23" t="str">
        <f>IFERROR(INDEX('2.4 Curriculos'!$C$2:$C$61,MATCH(C23,'2.4 Curriculos'!$B$2:$B$61,0)),"")</f>
        <v/>
      </c>
      <c r="N23" t="str">
        <f>IFERROR(INDEX('2.3 Periodos'!$B$2:$B$61,MATCH(D23,'2.3 Periodos'!$A$2:$A$61,0)),"")</f>
        <v/>
      </c>
      <c r="O23" t="str">
        <f t="shared" si="2"/>
        <v/>
      </c>
      <c r="P23" t="str">
        <f t="shared" si="3"/>
        <v/>
      </c>
      <c r="Q23" t="str">
        <f>IFERROR(INDEX('1.8 Sit Enturmacao'!$B$2:$B$61,MATCH(G23,'1.8 Sit Enturmacao'!$A$2:$A$61,0)),"")</f>
        <v/>
      </c>
      <c r="R23" t="str">
        <f>IFERROR(INDEX('1.9 Tipos Matricula'!$B$2:$B$61,MATCH(H23,'1.9 Tipos Matricula'!$A$2:$A$61,0)),"")</f>
        <v/>
      </c>
      <c r="S23" t="str">
        <f t="shared" si="4"/>
        <v/>
      </c>
    </row>
    <row r="24" spans="5:19" x14ac:dyDescent="0.35">
      <c r="E24" s="15"/>
      <c r="F24" s="15"/>
      <c r="K24" t="str">
        <f t="shared" si="0"/>
        <v/>
      </c>
      <c r="L24" t="str">
        <f t="shared" si="1"/>
        <v/>
      </c>
      <c r="M24" t="str">
        <f>IFERROR(INDEX('2.4 Curriculos'!$C$2:$C$61,MATCH(C24,'2.4 Curriculos'!$B$2:$B$61,0)),"")</f>
        <v/>
      </c>
      <c r="N24" t="str">
        <f>IFERROR(INDEX('2.3 Periodos'!$B$2:$B$61,MATCH(D24,'2.3 Periodos'!$A$2:$A$61,0)),"")</f>
        <v/>
      </c>
      <c r="O24" t="str">
        <f t="shared" si="2"/>
        <v/>
      </c>
      <c r="P24" t="str">
        <f t="shared" si="3"/>
        <v/>
      </c>
      <c r="Q24" t="str">
        <f>IFERROR(INDEX('1.8 Sit Enturmacao'!$B$2:$B$61,MATCH(G24,'1.8 Sit Enturmacao'!$A$2:$A$61,0)),"")</f>
        <v/>
      </c>
      <c r="R24" t="str">
        <f>IFERROR(INDEX('1.9 Tipos Matricula'!$B$2:$B$61,MATCH(H24,'1.9 Tipos Matricula'!$A$2:$A$61,0)),"")</f>
        <v/>
      </c>
      <c r="S24" t="str">
        <f t="shared" si="4"/>
        <v/>
      </c>
    </row>
    <row r="25" spans="5:19" x14ac:dyDescent="0.35">
      <c r="E25" s="15"/>
      <c r="F25" s="15"/>
      <c r="K25" t="str">
        <f t="shared" si="0"/>
        <v/>
      </c>
      <c r="L25" t="str">
        <f t="shared" si="1"/>
        <v/>
      </c>
      <c r="M25" t="str">
        <f>IFERROR(INDEX('2.4 Curriculos'!$C$2:$C$61,MATCH(C25,'2.4 Curriculos'!$B$2:$B$61,0)),"")</f>
        <v/>
      </c>
      <c r="N25" t="str">
        <f>IFERROR(INDEX('2.3 Periodos'!$B$2:$B$61,MATCH(D25,'2.3 Periodos'!$A$2:$A$61,0)),"")</f>
        <v/>
      </c>
      <c r="O25" t="str">
        <f t="shared" si="2"/>
        <v/>
      </c>
      <c r="P25" t="str">
        <f t="shared" si="3"/>
        <v/>
      </c>
      <c r="Q25" t="str">
        <f>IFERROR(INDEX('1.8 Sit Enturmacao'!$B$2:$B$61,MATCH(G25,'1.8 Sit Enturmacao'!$A$2:$A$61,0)),"")</f>
        <v/>
      </c>
      <c r="R25" t="str">
        <f>IFERROR(INDEX('1.9 Tipos Matricula'!$B$2:$B$61,MATCH(H25,'1.9 Tipos Matricula'!$A$2:$A$61,0)),"")</f>
        <v/>
      </c>
      <c r="S25" t="str">
        <f t="shared" si="4"/>
        <v/>
      </c>
    </row>
    <row r="26" spans="5:19" x14ac:dyDescent="0.35">
      <c r="E26" s="15"/>
      <c r="F26" s="15"/>
      <c r="K26" t="str">
        <f t="shared" si="0"/>
        <v/>
      </c>
      <c r="L26" t="str">
        <f t="shared" si="1"/>
        <v/>
      </c>
      <c r="M26" t="str">
        <f>IFERROR(INDEX('2.4 Curriculos'!$C$2:$C$61,MATCH(C26,'2.4 Curriculos'!$B$2:$B$61,0)),"")</f>
        <v/>
      </c>
      <c r="N26" t="str">
        <f>IFERROR(INDEX('2.3 Periodos'!$B$2:$B$61,MATCH(D26,'2.3 Periodos'!$A$2:$A$61,0)),"")</f>
        <v/>
      </c>
      <c r="O26" t="str">
        <f t="shared" si="2"/>
        <v/>
      </c>
      <c r="P26" t="str">
        <f t="shared" si="3"/>
        <v/>
      </c>
      <c r="Q26" t="str">
        <f>IFERROR(INDEX('1.8 Sit Enturmacao'!$B$2:$B$61,MATCH(G26,'1.8 Sit Enturmacao'!$A$2:$A$61,0)),"")</f>
        <v/>
      </c>
      <c r="R26" t="str">
        <f>IFERROR(INDEX('1.9 Tipos Matricula'!$B$2:$B$61,MATCH(H26,'1.9 Tipos Matricula'!$A$2:$A$61,0)),"")</f>
        <v/>
      </c>
      <c r="S26" t="str">
        <f t="shared" si="4"/>
        <v/>
      </c>
    </row>
    <row r="27" spans="5:19" x14ac:dyDescent="0.35">
      <c r="E27" s="15"/>
      <c r="F27" s="15"/>
      <c r="K27" t="str">
        <f t="shared" si="0"/>
        <v/>
      </c>
      <c r="L27" t="str">
        <f t="shared" si="1"/>
        <v/>
      </c>
      <c r="M27" t="str">
        <f>IFERROR(INDEX('2.4 Curriculos'!$C$2:$C$61,MATCH(C27,'2.4 Curriculos'!$B$2:$B$61,0)),"")</f>
        <v/>
      </c>
      <c r="N27" t="str">
        <f>IFERROR(INDEX('2.3 Periodos'!$B$2:$B$61,MATCH(D27,'2.3 Periodos'!$A$2:$A$61,0)),"")</f>
        <v/>
      </c>
      <c r="O27" t="str">
        <f t="shared" si="2"/>
        <v/>
      </c>
      <c r="P27" t="str">
        <f t="shared" si="3"/>
        <v/>
      </c>
      <c r="Q27" t="str">
        <f>IFERROR(INDEX('1.8 Sit Enturmacao'!$B$2:$B$61,MATCH(G27,'1.8 Sit Enturmacao'!$A$2:$A$61,0)),"")</f>
        <v/>
      </c>
      <c r="R27" t="str">
        <f>IFERROR(INDEX('1.9 Tipos Matricula'!$B$2:$B$61,MATCH(H27,'1.9 Tipos Matricula'!$A$2:$A$61,0)),"")</f>
        <v/>
      </c>
      <c r="S27" t="str">
        <f t="shared" si="4"/>
        <v/>
      </c>
    </row>
    <row r="28" spans="5:19" x14ac:dyDescent="0.35">
      <c r="E28" s="15"/>
      <c r="F28" s="15"/>
      <c r="K28" t="str">
        <f t="shared" si="0"/>
        <v/>
      </c>
      <c r="L28" t="str">
        <f t="shared" si="1"/>
        <v/>
      </c>
      <c r="M28" t="str">
        <f>IFERROR(INDEX('2.4 Curriculos'!$C$2:$C$61,MATCH(C28,'2.4 Curriculos'!$B$2:$B$61,0)),"")</f>
        <v/>
      </c>
      <c r="N28" t="str">
        <f>IFERROR(INDEX('2.3 Periodos'!$B$2:$B$61,MATCH(D28,'2.3 Periodos'!$A$2:$A$61,0)),"")</f>
        <v/>
      </c>
      <c r="O28" t="str">
        <f t="shared" si="2"/>
        <v/>
      </c>
      <c r="P28" t="str">
        <f t="shared" si="3"/>
        <v/>
      </c>
      <c r="Q28" t="str">
        <f>IFERROR(INDEX('1.8 Sit Enturmacao'!$B$2:$B$61,MATCH(G28,'1.8 Sit Enturmacao'!$A$2:$A$61,0)),"")</f>
        <v/>
      </c>
      <c r="R28" t="str">
        <f>IFERROR(INDEX('1.9 Tipos Matricula'!$B$2:$B$61,MATCH(H28,'1.9 Tipos Matricula'!$A$2:$A$61,0)),"")</f>
        <v/>
      </c>
      <c r="S28" t="str">
        <f t="shared" si="4"/>
        <v/>
      </c>
    </row>
    <row r="29" spans="5:19" x14ac:dyDescent="0.35">
      <c r="E29" s="15"/>
      <c r="F29" s="15"/>
      <c r="K29" t="str">
        <f t="shared" si="0"/>
        <v/>
      </c>
      <c r="L29" t="str">
        <f t="shared" si="1"/>
        <v/>
      </c>
      <c r="M29" t="str">
        <f>IFERROR(INDEX('2.4 Curriculos'!$C$2:$C$61,MATCH(C29,'2.4 Curriculos'!$B$2:$B$61,0)),"")</f>
        <v/>
      </c>
      <c r="N29" t="str">
        <f>IFERROR(INDEX('2.3 Periodos'!$B$2:$B$61,MATCH(D29,'2.3 Periodos'!$A$2:$A$61,0)),"")</f>
        <v/>
      </c>
      <c r="O29" t="str">
        <f t="shared" si="2"/>
        <v/>
      </c>
      <c r="P29" t="str">
        <f t="shared" si="3"/>
        <v/>
      </c>
      <c r="Q29" t="str">
        <f>IFERROR(INDEX('1.8 Sit Enturmacao'!$B$2:$B$61,MATCH(G29,'1.8 Sit Enturmacao'!$A$2:$A$61,0)),"")</f>
        <v/>
      </c>
      <c r="R29" t="str">
        <f>IFERROR(INDEX('1.9 Tipos Matricula'!$B$2:$B$61,MATCH(H29,'1.9 Tipos Matricula'!$A$2:$A$61,0)),"")</f>
        <v/>
      </c>
      <c r="S29" t="str">
        <f t="shared" si="4"/>
        <v/>
      </c>
    </row>
    <row r="30" spans="5:19" x14ac:dyDescent="0.35">
      <c r="E30" s="15"/>
      <c r="F30" s="15"/>
      <c r="K30" t="str">
        <f t="shared" si="0"/>
        <v/>
      </c>
      <c r="L30" t="str">
        <f t="shared" si="1"/>
        <v/>
      </c>
      <c r="M30" t="str">
        <f>IFERROR(INDEX('2.4 Curriculos'!$C$2:$C$61,MATCH(C30,'2.4 Curriculos'!$B$2:$B$61,0)),"")</f>
        <v/>
      </c>
      <c r="N30" t="str">
        <f>IFERROR(INDEX('2.3 Periodos'!$B$2:$B$61,MATCH(D30,'2.3 Periodos'!$A$2:$A$61,0)),"")</f>
        <v/>
      </c>
      <c r="O30" t="str">
        <f t="shared" si="2"/>
        <v/>
      </c>
      <c r="P30" t="str">
        <f t="shared" si="3"/>
        <v/>
      </c>
      <c r="Q30" t="str">
        <f>IFERROR(INDEX('1.8 Sit Enturmacao'!$B$2:$B$61,MATCH(G30,'1.8 Sit Enturmacao'!$A$2:$A$61,0)),"")</f>
        <v/>
      </c>
      <c r="R30" t="str">
        <f>IFERROR(INDEX('1.9 Tipos Matricula'!$B$2:$B$61,MATCH(H30,'1.9 Tipos Matricula'!$A$2:$A$61,0)),"")</f>
        <v/>
      </c>
      <c r="S30" t="str">
        <f t="shared" si="4"/>
        <v/>
      </c>
    </row>
    <row r="31" spans="5:19" x14ac:dyDescent="0.35">
      <c r="E31" s="15"/>
      <c r="F31" s="15"/>
      <c r="K31" t="str">
        <f t="shared" si="0"/>
        <v/>
      </c>
      <c r="L31" t="str">
        <f t="shared" si="1"/>
        <v/>
      </c>
      <c r="M31" t="str">
        <f>IFERROR(INDEX('2.4 Curriculos'!$C$2:$C$61,MATCH(C31,'2.4 Curriculos'!$B$2:$B$61,0)),"")</f>
        <v/>
      </c>
      <c r="N31" t="str">
        <f>IFERROR(INDEX('2.3 Periodos'!$B$2:$B$61,MATCH(D31,'2.3 Periodos'!$A$2:$A$61,0)),"")</f>
        <v/>
      </c>
      <c r="O31" t="str">
        <f t="shared" si="2"/>
        <v/>
      </c>
      <c r="P31" t="str">
        <f t="shared" si="3"/>
        <v/>
      </c>
      <c r="Q31" t="str">
        <f>IFERROR(INDEX('1.8 Sit Enturmacao'!$B$2:$B$61,MATCH(G31,'1.8 Sit Enturmacao'!$A$2:$A$61,0)),"")</f>
        <v/>
      </c>
      <c r="R31" t="str">
        <f>IFERROR(INDEX('1.9 Tipos Matricula'!$B$2:$B$61,MATCH(H31,'1.9 Tipos Matricula'!$A$2:$A$61,0)),"")</f>
        <v/>
      </c>
      <c r="S31" t="str">
        <f t="shared" si="4"/>
        <v/>
      </c>
    </row>
    <row r="32" spans="5:19" x14ac:dyDescent="0.35">
      <c r="E32" s="15"/>
      <c r="F32" s="15"/>
      <c r="K32" t="str">
        <f t="shared" si="0"/>
        <v/>
      </c>
      <c r="L32" t="str">
        <f t="shared" si="1"/>
        <v/>
      </c>
      <c r="M32" t="str">
        <f>IFERROR(INDEX('2.4 Curriculos'!$C$2:$C$61,MATCH(C32,'2.4 Curriculos'!$B$2:$B$61,0)),"")</f>
        <v/>
      </c>
      <c r="N32" t="str">
        <f>IFERROR(INDEX('2.3 Periodos'!$B$2:$B$61,MATCH(D32,'2.3 Periodos'!$A$2:$A$61,0)),"")</f>
        <v/>
      </c>
      <c r="O32" t="str">
        <f t="shared" si="2"/>
        <v/>
      </c>
      <c r="P32" t="str">
        <f t="shared" si="3"/>
        <v/>
      </c>
      <c r="Q32" t="str">
        <f>IFERROR(INDEX('1.8 Sit Enturmacao'!$B$2:$B$61,MATCH(G32,'1.8 Sit Enturmacao'!$A$2:$A$61,0)),"")</f>
        <v/>
      </c>
      <c r="R32" t="str">
        <f>IFERROR(INDEX('1.9 Tipos Matricula'!$B$2:$B$61,MATCH(H32,'1.9 Tipos Matricula'!$A$2:$A$61,0)),"")</f>
        <v/>
      </c>
      <c r="S32" t="str">
        <f t="shared" si="4"/>
        <v/>
      </c>
    </row>
    <row r="33" spans="5:19" x14ac:dyDescent="0.35">
      <c r="E33" s="15"/>
      <c r="F33" s="15"/>
      <c r="K33" t="str">
        <f t="shared" si="0"/>
        <v/>
      </c>
      <c r="L33" t="str">
        <f t="shared" si="1"/>
        <v/>
      </c>
      <c r="M33" t="str">
        <f>IFERROR(INDEX('2.4 Curriculos'!$C$2:$C$61,MATCH(C33,'2.4 Curriculos'!$B$2:$B$61,0)),"")</f>
        <v/>
      </c>
      <c r="N33" t="str">
        <f>IFERROR(INDEX('2.3 Periodos'!$B$2:$B$61,MATCH(D33,'2.3 Periodos'!$A$2:$A$61,0)),"")</f>
        <v/>
      </c>
      <c r="O33" t="str">
        <f t="shared" si="2"/>
        <v/>
      </c>
      <c r="P33" t="str">
        <f t="shared" si="3"/>
        <v/>
      </c>
      <c r="Q33" t="str">
        <f>IFERROR(INDEX('1.8 Sit Enturmacao'!$B$2:$B$61,MATCH(G33,'1.8 Sit Enturmacao'!$A$2:$A$61,0)),"")</f>
        <v/>
      </c>
      <c r="R33" t="str">
        <f>IFERROR(INDEX('1.9 Tipos Matricula'!$B$2:$B$61,MATCH(H33,'1.9 Tipos Matricula'!$A$2:$A$61,0)),"")</f>
        <v/>
      </c>
      <c r="S33" t="str">
        <f t="shared" si="4"/>
        <v/>
      </c>
    </row>
    <row r="34" spans="5:19" x14ac:dyDescent="0.35">
      <c r="E34" s="15"/>
      <c r="F34" s="15"/>
      <c r="K34" t="str">
        <f t="shared" ref="K34:K61" si="5">IF(A34="","",A34)</f>
        <v/>
      </c>
      <c r="L34" t="str">
        <f t="shared" ref="L34:L61" si="6">IF(B34="","",B34)</f>
        <v/>
      </c>
      <c r="M34" t="str">
        <f>IFERROR(INDEX('2.4 Curriculos'!$C$2:$C$61,MATCH(C34,'2.4 Curriculos'!$B$2:$B$61,0)),"")</f>
        <v/>
      </c>
      <c r="N34" t="str">
        <f>IFERROR(INDEX('2.3 Periodos'!$B$2:$B$61,MATCH(D34,'2.3 Periodos'!$A$2:$A$61,0)),"")</f>
        <v/>
      </c>
      <c r="O34" t="str">
        <f t="shared" ref="O34:O61" si="7">IF(E34="","",TEXT(E34,"yyyy-mm-dd"))</f>
        <v/>
      </c>
      <c r="P34" t="str">
        <f t="shared" ref="P34:P61" si="8">IF(F34="","",TEXT(F34,"yyyy-mm-dd"))</f>
        <v/>
      </c>
      <c r="Q34" t="str">
        <f>IFERROR(INDEX('1.8 Sit Enturmacao'!$B$2:$B$61,MATCH(G34,'1.8 Sit Enturmacao'!$A$2:$A$61,0)),"")</f>
        <v/>
      </c>
      <c r="R34" t="str">
        <f>IFERROR(INDEX('1.9 Tipos Matricula'!$B$2:$B$61,MATCH(H34,'1.9 Tipos Matricula'!$A$2:$A$61,0)),"")</f>
        <v/>
      </c>
      <c r="S34" t="str">
        <f t="shared" ref="S34:S61" si="9">IF(I34="","",I34)</f>
        <v/>
      </c>
    </row>
    <row r="35" spans="5:19" x14ac:dyDescent="0.35">
      <c r="E35" s="15"/>
      <c r="F35" s="15"/>
      <c r="K35" t="str">
        <f t="shared" si="5"/>
        <v/>
      </c>
      <c r="L35" t="str">
        <f t="shared" si="6"/>
        <v/>
      </c>
      <c r="M35" t="str">
        <f>IFERROR(INDEX('2.4 Curriculos'!$C$2:$C$61,MATCH(C35,'2.4 Curriculos'!$B$2:$B$61,0)),"")</f>
        <v/>
      </c>
      <c r="N35" t="str">
        <f>IFERROR(INDEX('2.3 Periodos'!$B$2:$B$61,MATCH(D35,'2.3 Periodos'!$A$2:$A$61,0)),"")</f>
        <v/>
      </c>
      <c r="O35" t="str">
        <f t="shared" si="7"/>
        <v/>
      </c>
      <c r="P35" t="str">
        <f t="shared" si="8"/>
        <v/>
      </c>
      <c r="Q35" t="str">
        <f>IFERROR(INDEX('1.8 Sit Enturmacao'!$B$2:$B$61,MATCH(G35,'1.8 Sit Enturmacao'!$A$2:$A$61,0)),"")</f>
        <v/>
      </c>
      <c r="R35" t="str">
        <f>IFERROR(INDEX('1.9 Tipos Matricula'!$B$2:$B$61,MATCH(H35,'1.9 Tipos Matricula'!$A$2:$A$61,0)),"")</f>
        <v/>
      </c>
      <c r="S35" t="str">
        <f t="shared" si="9"/>
        <v/>
      </c>
    </row>
    <row r="36" spans="5:19" x14ac:dyDescent="0.35">
      <c r="E36" s="15"/>
      <c r="F36" s="15"/>
      <c r="K36" t="str">
        <f t="shared" si="5"/>
        <v/>
      </c>
      <c r="L36" t="str">
        <f t="shared" si="6"/>
        <v/>
      </c>
      <c r="M36" t="str">
        <f>IFERROR(INDEX('2.4 Curriculos'!$C$2:$C$61,MATCH(C36,'2.4 Curriculos'!$B$2:$B$61,0)),"")</f>
        <v/>
      </c>
      <c r="N36" t="str">
        <f>IFERROR(INDEX('2.3 Periodos'!$B$2:$B$61,MATCH(D36,'2.3 Periodos'!$A$2:$A$61,0)),"")</f>
        <v/>
      </c>
      <c r="O36" t="str">
        <f t="shared" si="7"/>
        <v/>
      </c>
      <c r="P36" t="str">
        <f t="shared" si="8"/>
        <v/>
      </c>
      <c r="Q36" t="str">
        <f>IFERROR(INDEX('1.8 Sit Enturmacao'!$B$2:$B$61,MATCH(G36,'1.8 Sit Enturmacao'!$A$2:$A$61,0)),"")</f>
        <v/>
      </c>
      <c r="R36" t="str">
        <f>IFERROR(INDEX('1.9 Tipos Matricula'!$B$2:$B$61,MATCH(H36,'1.9 Tipos Matricula'!$A$2:$A$61,0)),"")</f>
        <v/>
      </c>
      <c r="S36" t="str">
        <f t="shared" si="9"/>
        <v/>
      </c>
    </row>
    <row r="37" spans="5:19" x14ac:dyDescent="0.35">
      <c r="E37" s="15"/>
      <c r="F37" s="15"/>
      <c r="K37" t="str">
        <f t="shared" si="5"/>
        <v/>
      </c>
      <c r="L37" t="str">
        <f t="shared" si="6"/>
        <v/>
      </c>
      <c r="M37" t="str">
        <f>IFERROR(INDEX('2.4 Curriculos'!$C$2:$C$61,MATCH(C37,'2.4 Curriculos'!$B$2:$B$61,0)),"")</f>
        <v/>
      </c>
      <c r="N37" t="str">
        <f>IFERROR(INDEX('2.3 Periodos'!$B$2:$B$61,MATCH(D37,'2.3 Periodos'!$A$2:$A$61,0)),"")</f>
        <v/>
      </c>
      <c r="O37" t="str">
        <f t="shared" si="7"/>
        <v/>
      </c>
      <c r="P37" t="str">
        <f t="shared" si="8"/>
        <v/>
      </c>
      <c r="Q37" t="str">
        <f>IFERROR(INDEX('1.8 Sit Enturmacao'!$B$2:$B$61,MATCH(G37,'1.8 Sit Enturmacao'!$A$2:$A$61,0)),"")</f>
        <v/>
      </c>
      <c r="R37" t="str">
        <f>IFERROR(INDEX('1.9 Tipos Matricula'!$B$2:$B$61,MATCH(H37,'1.9 Tipos Matricula'!$A$2:$A$61,0)),"")</f>
        <v/>
      </c>
      <c r="S37" t="str">
        <f t="shared" si="9"/>
        <v/>
      </c>
    </row>
    <row r="38" spans="5:19" x14ac:dyDescent="0.35">
      <c r="E38" s="15"/>
      <c r="F38" s="15"/>
      <c r="K38" t="str">
        <f t="shared" si="5"/>
        <v/>
      </c>
      <c r="L38" t="str">
        <f t="shared" si="6"/>
        <v/>
      </c>
      <c r="M38" t="str">
        <f>IFERROR(INDEX('2.4 Curriculos'!$C$2:$C$61,MATCH(C38,'2.4 Curriculos'!$B$2:$B$61,0)),"")</f>
        <v/>
      </c>
      <c r="N38" t="str">
        <f>IFERROR(INDEX('2.3 Periodos'!$B$2:$B$61,MATCH(D38,'2.3 Periodos'!$A$2:$A$61,0)),"")</f>
        <v/>
      </c>
      <c r="O38" t="str">
        <f t="shared" si="7"/>
        <v/>
      </c>
      <c r="P38" t="str">
        <f t="shared" si="8"/>
        <v/>
      </c>
      <c r="Q38" t="str">
        <f>IFERROR(INDEX('1.8 Sit Enturmacao'!$B$2:$B$61,MATCH(G38,'1.8 Sit Enturmacao'!$A$2:$A$61,0)),"")</f>
        <v/>
      </c>
      <c r="R38" t="str">
        <f>IFERROR(INDEX('1.9 Tipos Matricula'!$B$2:$B$61,MATCH(H38,'1.9 Tipos Matricula'!$A$2:$A$61,0)),"")</f>
        <v/>
      </c>
      <c r="S38" t="str">
        <f t="shared" si="9"/>
        <v/>
      </c>
    </row>
    <row r="39" spans="5:19" x14ac:dyDescent="0.35">
      <c r="E39" s="15"/>
      <c r="F39" s="15"/>
      <c r="K39" t="str">
        <f t="shared" si="5"/>
        <v/>
      </c>
      <c r="L39" t="str">
        <f t="shared" si="6"/>
        <v/>
      </c>
      <c r="M39" t="str">
        <f>IFERROR(INDEX('2.4 Curriculos'!$C$2:$C$61,MATCH(C39,'2.4 Curriculos'!$B$2:$B$61,0)),"")</f>
        <v/>
      </c>
      <c r="N39" t="str">
        <f>IFERROR(INDEX('2.3 Periodos'!$B$2:$B$61,MATCH(D39,'2.3 Periodos'!$A$2:$A$61,0)),"")</f>
        <v/>
      </c>
      <c r="O39" t="str">
        <f t="shared" si="7"/>
        <v/>
      </c>
      <c r="P39" t="str">
        <f t="shared" si="8"/>
        <v/>
      </c>
      <c r="Q39" t="str">
        <f>IFERROR(INDEX('1.8 Sit Enturmacao'!$B$2:$B$61,MATCH(G39,'1.8 Sit Enturmacao'!$A$2:$A$61,0)),"")</f>
        <v/>
      </c>
      <c r="R39" t="str">
        <f>IFERROR(INDEX('1.9 Tipos Matricula'!$B$2:$B$61,MATCH(H39,'1.9 Tipos Matricula'!$A$2:$A$61,0)),"")</f>
        <v/>
      </c>
      <c r="S39" t="str">
        <f t="shared" si="9"/>
        <v/>
      </c>
    </row>
    <row r="40" spans="5:19" x14ac:dyDescent="0.35">
      <c r="E40" s="15"/>
      <c r="F40" s="15"/>
      <c r="K40" t="str">
        <f t="shared" si="5"/>
        <v/>
      </c>
      <c r="L40" t="str">
        <f t="shared" si="6"/>
        <v/>
      </c>
      <c r="M40" t="str">
        <f>IFERROR(INDEX('2.4 Curriculos'!$C$2:$C$61,MATCH(C40,'2.4 Curriculos'!$B$2:$B$61,0)),"")</f>
        <v/>
      </c>
      <c r="N40" t="str">
        <f>IFERROR(INDEX('2.3 Periodos'!$B$2:$B$61,MATCH(D40,'2.3 Periodos'!$A$2:$A$61,0)),"")</f>
        <v/>
      </c>
      <c r="O40" t="str">
        <f t="shared" si="7"/>
        <v/>
      </c>
      <c r="P40" t="str">
        <f t="shared" si="8"/>
        <v/>
      </c>
      <c r="Q40" t="str">
        <f>IFERROR(INDEX('1.8 Sit Enturmacao'!$B$2:$B$61,MATCH(G40,'1.8 Sit Enturmacao'!$A$2:$A$61,0)),"")</f>
        <v/>
      </c>
      <c r="R40" t="str">
        <f>IFERROR(INDEX('1.9 Tipos Matricula'!$B$2:$B$61,MATCH(H40,'1.9 Tipos Matricula'!$A$2:$A$61,0)),"")</f>
        <v/>
      </c>
      <c r="S40" t="str">
        <f t="shared" si="9"/>
        <v/>
      </c>
    </row>
    <row r="41" spans="5:19" x14ac:dyDescent="0.35">
      <c r="E41" s="15"/>
      <c r="F41" s="15"/>
      <c r="K41" t="str">
        <f t="shared" si="5"/>
        <v/>
      </c>
      <c r="L41" t="str">
        <f t="shared" si="6"/>
        <v/>
      </c>
      <c r="M41" t="str">
        <f>IFERROR(INDEX('2.4 Curriculos'!$C$2:$C$61,MATCH(C41,'2.4 Curriculos'!$B$2:$B$61,0)),"")</f>
        <v/>
      </c>
      <c r="N41" t="str">
        <f>IFERROR(INDEX('2.3 Periodos'!$B$2:$B$61,MATCH(D41,'2.3 Periodos'!$A$2:$A$61,0)),"")</f>
        <v/>
      </c>
      <c r="O41" t="str">
        <f t="shared" si="7"/>
        <v/>
      </c>
      <c r="P41" t="str">
        <f t="shared" si="8"/>
        <v/>
      </c>
      <c r="Q41" t="str">
        <f>IFERROR(INDEX('1.8 Sit Enturmacao'!$B$2:$B$61,MATCH(G41,'1.8 Sit Enturmacao'!$A$2:$A$61,0)),"")</f>
        <v/>
      </c>
      <c r="R41" t="str">
        <f>IFERROR(INDEX('1.9 Tipos Matricula'!$B$2:$B$61,MATCH(H41,'1.9 Tipos Matricula'!$A$2:$A$61,0)),"")</f>
        <v/>
      </c>
      <c r="S41" t="str">
        <f t="shared" si="9"/>
        <v/>
      </c>
    </row>
    <row r="42" spans="5:19" x14ac:dyDescent="0.35">
      <c r="E42" s="15"/>
      <c r="F42" s="15"/>
      <c r="K42" t="str">
        <f t="shared" si="5"/>
        <v/>
      </c>
      <c r="L42" t="str">
        <f t="shared" si="6"/>
        <v/>
      </c>
      <c r="M42" t="str">
        <f>IFERROR(INDEX('2.4 Curriculos'!$C$2:$C$61,MATCH(C42,'2.4 Curriculos'!$B$2:$B$61,0)),"")</f>
        <v/>
      </c>
      <c r="N42" t="str">
        <f>IFERROR(INDEX('2.3 Periodos'!$B$2:$B$61,MATCH(D42,'2.3 Periodos'!$A$2:$A$61,0)),"")</f>
        <v/>
      </c>
      <c r="O42" t="str">
        <f t="shared" si="7"/>
        <v/>
      </c>
      <c r="P42" t="str">
        <f t="shared" si="8"/>
        <v/>
      </c>
      <c r="Q42" t="str">
        <f>IFERROR(INDEX('1.8 Sit Enturmacao'!$B$2:$B$61,MATCH(G42,'1.8 Sit Enturmacao'!$A$2:$A$61,0)),"")</f>
        <v/>
      </c>
      <c r="R42" t="str">
        <f>IFERROR(INDEX('1.9 Tipos Matricula'!$B$2:$B$61,MATCH(H42,'1.9 Tipos Matricula'!$A$2:$A$61,0)),"")</f>
        <v/>
      </c>
      <c r="S42" t="str">
        <f t="shared" si="9"/>
        <v/>
      </c>
    </row>
    <row r="43" spans="5:19" x14ac:dyDescent="0.35">
      <c r="E43" s="15"/>
      <c r="F43" s="15"/>
      <c r="K43" t="str">
        <f t="shared" si="5"/>
        <v/>
      </c>
      <c r="L43" t="str">
        <f t="shared" si="6"/>
        <v/>
      </c>
      <c r="M43" t="str">
        <f>IFERROR(INDEX('2.4 Curriculos'!$C$2:$C$61,MATCH(C43,'2.4 Curriculos'!$B$2:$B$61,0)),"")</f>
        <v/>
      </c>
      <c r="N43" t="str">
        <f>IFERROR(INDEX('2.3 Periodos'!$B$2:$B$61,MATCH(D43,'2.3 Periodos'!$A$2:$A$61,0)),"")</f>
        <v/>
      </c>
      <c r="O43" t="str">
        <f t="shared" si="7"/>
        <v/>
      </c>
      <c r="P43" t="str">
        <f t="shared" si="8"/>
        <v/>
      </c>
      <c r="Q43" t="str">
        <f>IFERROR(INDEX('1.8 Sit Enturmacao'!$B$2:$B$61,MATCH(G43,'1.8 Sit Enturmacao'!$A$2:$A$61,0)),"")</f>
        <v/>
      </c>
      <c r="R43" t="str">
        <f>IFERROR(INDEX('1.9 Tipos Matricula'!$B$2:$B$61,MATCH(H43,'1.9 Tipos Matricula'!$A$2:$A$61,0)),"")</f>
        <v/>
      </c>
      <c r="S43" t="str">
        <f t="shared" si="9"/>
        <v/>
      </c>
    </row>
    <row r="44" spans="5:19" x14ac:dyDescent="0.35">
      <c r="E44" s="15"/>
      <c r="F44" s="15"/>
      <c r="K44" t="str">
        <f t="shared" si="5"/>
        <v/>
      </c>
      <c r="L44" t="str">
        <f t="shared" si="6"/>
        <v/>
      </c>
      <c r="M44" t="str">
        <f>IFERROR(INDEX('2.4 Curriculos'!$C$2:$C$61,MATCH(C44,'2.4 Curriculos'!$B$2:$B$61,0)),"")</f>
        <v/>
      </c>
      <c r="N44" t="str">
        <f>IFERROR(INDEX('2.3 Periodos'!$B$2:$B$61,MATCH(D44,'2.3 Periodos'!$A$2:$A$61,0)),"")</f>
        <v/>
      </c>
      <c r="O44" t="str">
        <f t="shared" si="7"/>
        <v/>
      </c>
      <c r="P44" t="str">
        <f t="shared" si="8"/>
        <v/>
      </c>
      <c r="Q44" t="str">
        <f>IFERROR(INDEX('1.8 Sit Enturmacao'!$B$2:$B$61,MATCH(G44,'1.8 Sit Enturmacao'!$A$2:$A$61,0)),"")</f>
        <v/>
      </c>
      <c r="R44" t="str">
        <f>IFERROR(INDEX('1.9 Tipos Matricula'!$B$2:$B$61,MATCH(H44,'1.9 Tipos Matricula'!$A$2:$A$61,0)),"")</f>
        <v/>
      </c>
      <c r="S44" t="str">
        <f t="shared" si="9"/>
        <v/>
      </c>
    </row>
    <row r="45" spans="5:19" x14ac:dyDescent="0.35">
      <c r="E45" s="15"/>
      <c r="F45" s="15"/>
      <c r="K45" t="str">
        <f t="shared" si="5"/>
        <v/>
      </c>
      <c r="L45" t="str">
        <f t="shared" si="6"/>
        <v/>
      </c>
      <c r="M45" t="str">
        <f>IFERROR(INDEX('2.4 Curriculos'!$C$2:$C$61,MATCH(C45,'2.4 Curriculos'!$B$2:$B$61,0)),"")</f>
        <v/>
      </c>
      <c r="N45" t="str">
        <f>IFERROR(INDEX('2.3 Periodos'!$B$2:$B$61,MATCH(D45,'2.3 Periodos'!$A$2:$A$61,0)),"")</f>
        <v/>
      </c>
      <c r="O45" t="str">
        <f t="shared" si="7"/>
        <v/>
      </c>
      <c r="P45" t="str">
        <f t="shared" si="8"/>
        <v/>
      </c>
      <c r="Q45" t="str">
        <f>IFERROR(INDEX('1.8 Sit Enturmacao'!$B$2:$B$61,MATCH(G45,'1.8 Sit Enturmacao'!$A$2:$A$61,0)),"")</f>
        <v/>
      </c>
      <c r="R45" t="str">
        <f>IFERROR(INDEX('1.9 Tipos Matricula'!$B$2:$B$61,MATCH(H45,'1.9 Tipos Matricula'!$A$2:$A$61,0)),"")</f>
        <v/>
      </c>
      <c r="S45" t="str">
        <f t="shared" si="9"/>
        <v/>
      </c>
    </row>
    <row r="46" spans="5:19" x14ac:dyDescent="0.35">
      <c r="E46" s="15"/>
      <c r="F46" s="15"/>
      <c r="K46" t="str">
        <f t="shared" si="5"/>
        <v/>
      </c>
      <c r="L46" t="str">
        <f t="shared" si="6"/>
        <v/>
      </c>
      <c r="M46" t="str">
        <f>IFERROR(INDEX('2.4 Curriculos'!$C$2:$C$61,MATCH(C46,'2.4 Curriculos'!$B$2:$B$61,0)),"")</f>
        <v/>
      </c>
      <c r="N46" t="str">
        <f>IFERROR(INDEX('2.3 Periodos'!$B$2:$B$61,MATCH(D46,'2.3 Periodos'!$A$2:$A$61,0)),"")</f>
        <v/>
      </c>
      <c r="O46" t="str">
        <f t="shared" si="7"/>
        <v/>
      </c>
      <c r="P46" t="str">
        <f t="shared" si="8"/>
        <v/>
      </c>
      <c r="Q46" t="str">
        <f>IFERROR(INDEX('1.8 Sit Enturmacao'!$B$2:$B$61,MATCH(G46,'1.8 Sit Enturmacao'!$A$2:$A$61,0)),"")</f>
        <v/>
      </c>
      <c r="R46" t="str">
        <f>IFERROR(INDEX('1.9 Tipos Matricula'!$B$2:$B$61,MATCH(H46,'1.9 Tipos Matricula'!$A$2:$A$61,0)),"")</f>
        <v/>
      </c>
      <c r="S46" t="str">
        <f t="shared" si="9"/>
        <v/>
      </c>
    </row>
    <row r="47" spans="5:19" x14ac:dyDescent="0.35">
      <c r="E47" s="15"/>
      <c r="F47" s="15"/>
      <c r="K47" t="str">
        <f t="shared" si="5"/>
        <v/>
      </c>
      <c r="L47" t="str">
        <f t="shared" si="6"/>
        <v/>
      </c>
      <c r="M47" t="str">
        <f>IFERROR(INDEX('2.4 Curriculos'!$C$2:$C$61,MATCH(C47,'2.4 Curriculos'!$B$2:$B$61,0)),"")</f>
        <v/>
      </c>
      <c r="N47" t="str">
        <f>IFERROR(INDEX('2.3 Periodos'!$B$2:$B$61,MATCH(D47,'2.3 Periodos'!$A$2:$A$61,0)),"")</f>
        <v/>
      </c>
      <c r="O47" t="str">
        <f t="shared" si="7"/>
        <v/>
      </c>
      <c r="P47" t="str">
        <f t="shared" si="8"/>
        <v/>
      </c>
      <c r="Q47" t="str">
        <f>IFERROR(INDEX('1.8 Sit Enturmacao'!$B$2:$B$61,MATCH(G47,'1.8 Sit Enturmacao'!$A$2:$A$61,0)),"")</f>
        <v/>
      </c>
      <c r="R47" t="str">
        <f>IFERROR(INDEX('1.9 Tipos Matricula'!$B$2:$B$61,MATCH(H47,'1.9 Tipos Matricula'!$A$2:$A$61,0)),"")</f>
        <v/>
      </c>
      <c r="S47" t="str">
        <f t="shared" si="9"/>
        <v/>
      </c>
    </row>
    <row r="48" spans="5:19" x14ac:dyDescent="0.35">
      <c r="E48" s="15"/>
      <c r="F48" s="15"/>
      <c r="K48" t="str">
        <f t="shared" si="5"/>
        <v/>
      </c>
      <c r="L48" t="str">
        <f t="shared" si="6"/>
        <v/>
      </c>
      <c r="M48" t="str">
        <f>IFERROR(INDEX('2.4 Curriculos'!$C$2:$C$61,MATCH(C48,'2.4 Curriculos'!$B$2:$B$61,0)),"")</f>
        <v/>
      </c>
      <c r="N48" t="str">
        <f>IFERROR(INDEX('2.3 Periodos'!$B$2:$B$61,MATCH(D48,'2.3 Periodos'!$A$2:$A$61,0)),"")</f>
        <v/>
      </c>
      <c r="O48" t="str">
        <f t="shared" si="7"/>
        <v/>
      </c>
      <c r="P48" t="str">
        <f t="shared" si="8"/>
        <v/>
      </c>
      <c r="Q48" t="str">
        <f>IFERROR(INDEX('1.8 Sit Enturmacao'!$B$2:$B$61,MATCH(G48,'1.8 Sit Enturmacao'!$A$2:$A$61,0)),"")</f>
        <v/>
      </c>
      <c r="R48" t="str">
        <f>IFERROR(INDEX('1.9 Tipos Matricula'!$B$2:$B$61,MATCH(H48,'1.9 Tipos Matricula'!$A$2:$A$61,0)),"")</f>
        <v/>
      </c>
      <c r="S48" t="str">
        <f t="shared" si="9"/>
        <v/>
      </c>
    </row>
    <row r="49" spans="5:19" x14ac:dyDescent="0.35">
      <c r="E49" s="15"/>
      <c r="F49" s="15"/>
      <c r="K49" t="str">
        <f t="shared" si="5"/>
        <v/>
      </c>
      <c r="L49" t="str">
        <f t="shared" si="6"/>
        <v/>
      </c>
      <c r="M49" t="str">
        <f>IFERROR(INDEX('2.4 Curriculos'!$C$2:$C$61,MATCH(C49,'2.4 Curriculos'!$B$2:$B$61,0)),"")</f>
        <v/>
      </c>
      <c r="N49" t="str">
        <f>IFERROR(INDEX('2.3 Periodos'!$B$2:$B$61,MATCH(D49,'2.3 Periodos'!$A$2:$A$61,0)),"")</f>
        <v/>
      </c>
      <c r="O49" t="str">
        <f t="shared" si="7"/>
        <v/>
      </c>
      <c r="P49" t="str">
        <f t="shared" si="8"/>
        <v/>
      </c>
      <c r="Q49" t="str">
        <f>IFERROR(INDEX('1.8 Sit Enturmacao'!$B$2:$B$61,MATCH(G49,'1.8 Sit Enturmacao'!$A$2:$A$61,0)),"")</f>
        <v/>
      </c>
      <c r="R49" t="str">
        <f>IFERROR(INDEX('1.9 Tipos Matricula'!$B$2:$B$61,MATCH(H49,'1.9 Tipos Matricula'!$A$2:$A$61,0)),"")</f>
        <v/>
      </c>
      <c r="S49" t="str">
        <f t="shared" si="9"/>
        <v/>
      </c>
    </row>
    <row r="50" spans="5:19" x14ac:dyDescent="0.35">
      <c r="E50" s="15"/>
      <c r="F50" s="15"/>
      <c r="K50" t="str">
        <f t="shared" si="5"/>
        <v/>
      </c>
      <c r="L50" t="str">
        <f t="shared" si="6"/>
        <v/>
      </c>
      <c r="M50" t="str">
        <f>IFERROR(INDEX('2.4 Curriculos'!$C$2:$C$61,MATCH(C50,'2.4 Curriculos'!$B$2:$B$61,0)),"")</f>
        <v/>
      </c>
      <c r="N50" t="str">
        <f>IFERROR(INDEX('2.3 Periodos'!$B$2:$B$61,MATCH(D50,'2.3 Periodos'!$A$2:$A$61,0)),"")</f>
        <v/>
      </c>
      <c r="O50" t="str">
        <f t="shared" si="7"/>
        <v/>
      </c>
      <c r="P50" t="str">
        <f t="shared" si="8"/>
        <v/>
      </c>
      <c r="Q50" t="str">
        <f>IFERROR(INDEX('1.8 Sit Enturmacao'!$B$2:$B$61,MATCH(G50,'1.8 Sit Enturmacao'!$A$2:$A$61,0)),"")</f>
        <v/>
      </c>
      <c r="R50" t="str">
        <f>IFERROR(INDEX('1.9 Tipos Matricula'!$B$2:$B$61,MATCH(H50,'1.9 Tipos Matricula'!$A$2:$A$61,0)),"")</f>
        <v/>
      </c>
      <c r="S50" t="str">
        <f t="shared" si="9"/>
        <v/>
      </c>
    </row>
    <row r="51" spans="5:19" x14ac:dyDescent="0.35">
      <c r="E51" s="15"/>
      <c r="F51" s="15"/>
      <c r="K51" t="str">
        <f t="shared" si="5"/>
        <v/>
      </c>
      <c r="L51" t="str">
        <f t="shared" si="6"/>
        <v/>
      </c>
      <c r="M51" t="str">
        <f>IFERROR(INDEX('2.4 Curriculos'!$C$2:$C$61,MATCH(C51,'2.4 Curriculos'!$B$2:$B$61,0)),"")</f>
        <v/>
      </c>
      <c r="N51" t="str">
        <f>IFERROR(INDEX('2.3 Periodos'!$B$2:$B$61,MATCH(D51,'2.3 Periodos'!$A$2:$A$61,0)),"")</f>
        <v/>
      </c>
      <c r="O51" t="str">
        <f t="shared" si="7"/>
        <v/>
      </c>
      <c r="P51" t="str">
        <f t="shared" si="8"/>
        <v/>
      </c>
      <c r="Q51" t="str">
        <f>IFERROR(INDEX('1.8 Sit Enturmacao'!$B$2:$B$61,MATCH(G51,'1.8 Sit Enturmacao'!$A$2:$A$61,0)),"")</f>
        <v/>
      </c>
      <c r="R51" t="str">
        <f>IFERROR(INDEX('1.9 Tipos Matricula'!$B$2:$B$61,MATCH(H51,'1.9 Tipos Matricula'!$A$2:$A$61,0)),"")</f>
        <v/>
      </c>
      <c r="S51" t="str">
        <f t="shared" si="9"/>
        <v/>
      </c>
    </row>
    <row r="52" spans="5:19" x14ac:dyDescent="0.35">
      <c r="E52" s="15"/>
      <c r="F52" s="15"/>
      <c r="K52" t="str">
        <f t="shared" si="5"/>
        <v/>
      </c>
      <c r="L52" t="str">
        <f t="shared" si="6"/>
        <v/>
      </c>
      <c r="M52" t="str">
        <f>IFERROR(INDEX('2.4 Curriculos'!$C$2:$C$61,MATCH(C52,'2.4 Curriculos'!$B$2:$B$61,0)),"")</f>
        <v/>
      </c>
      <c r="N52" t="str">
        <f>IFERROR(INDEX('2.3 Periodos'!$B$2:$B$61,MATCH(D52,'2.3 Periodos'!$A$2:$A$61,0)),"")</f>
        <v/>
      </c>
      <c r="O52" t="str">
        <f t="shared" si="7"/>
        <v/>
      </c>
      <c r="P52" t="str">
        <f t="shared" si="8"/>
        <v/>
      </c>
      <c r="Q52" t="str">
        <f>IFERROR(INDEX('1.8 Sit Enturmacao'!$B$2:$B$61,MATCH(G52,'1.8 Sit Enturmacao'!$A$2:$A$61,0)),"")</f>
        <v/>
      </c>
      <c r="R52" t="str">
        <f>IFERROR(INDEX('1.9 Tipos Matricula'!$B$2:$B$61,MATCH(H52,'1.9 Tipos Matricula'!$A$2:$A$61,0)),"")</f>
        <v/>
      </c>
      <c r="S52" t="str">
        <f t="shared" si="9"/>
        <v/>
      </c>
    </row>
    <row r="53" spans="5:19" x14ac:dyDescent="0.35">
      <c r="E53" s="15"/>
      <c r="F53" s="15"/>
      <c r="K53" t="str">
        <f t="shared" si="5"/>
        <v/>
      </c>
      <c r="L53" t="str">
        <f t="shared" si="6"/>
        <v/>
      </c>
      <c r="M53" t="str">
        <f>IFERROR(INDEX('2.4 Curriculos'!$C$2:$C$61,MATCH(C53,'2.4 Curriculos'!$B$2:$B$61,0)),"")</f>
        <v/>
      </c>
      <c r="N53" t="str">
        <f>IFERROR(INDEX('2.3 Periodos'!$B$2:$B$61,MATCH(D53,'2.3 Periodos'!$A$2:$A$61,0)),"")</f>
        <v/>
      </c>
      <c r="O53" t="str">
        <f t="shared" si="7"/>
        <v/>
      </c>
      <c r="P53" t="str">
        <f t="shared" si="8"/>
        <v/>
      </c>
      <c r="Q53" t="str">
        <f>IFERROR(INDEX('1.8 Sit Enturmacao'!$B$2:$B$61,MATCH(G53,'1.8 Sit Enturmacao'!$A$2:$A$61,0)),"")</f>
        <v/>
      </c>
      <c r="R53" t="str">
        <f>IFERROR(INDEX('1.9 Tipos Matricula'!$B$2:$B$61,MATCH(H53,'1.9 Tipos Matricula'!$A$2:$A$61,0)),"")</f>
        <v/>
      </c>
      <c r="S53" t="str">
        <f t="shared" si="9"/>
        <v/>
      </c>
    </row>
    <row r="54" spans="5:19" x14ac:dyDescent="0.35">
      <c r="E54" s="15"/>
      <c r="F54" s="15"/>
      <c r="K54" t="str">
        <f t="shared" si="5"/>
        <v/>
      </c>
      <c r="L54" t="str">
        <f t="shared" si="6"/>
        <v/>
      </c>
      <c r="M54" t="str">
        <f>IFERROR(INDEX('2.4 Curriculos'!$C$2:$C$61,MATCH(C54,'2.4 Curriculos'!$B$2:$B$61,0)),"")</f>
        <v/>
      </c>
      <c r="N54" t="str">
        <f>IFERROR(INDEX('2.3 Periodos'!$B$2:$B$61,MATCH(D54,'2.3 Periodos'!$A$2:$A$61,0)),"")</f>
        <v/>
      </c>
      <c r="O54" t="str">
        <f t="shared" si="7"/>
        <v/>
      </c>
      <c r="P54" t="str">
        <f t="shared" si="8"/>
        <v/>
      </c>
      <c r="Q54" t="str">
        <f>IFERROR(INDEX('1.8 Sit Enturmacao'!$B$2:$B$61,MATCH(G54,'1.8 Sit Enturmacao'!$A$2:$A$61,0)),"")</f>
        <v/>
      </c>
      <c r="R54" t="str">
        <f>IFERROR(INDEX('1.9 Tipos Matricula'!$B$2:$B$61,MATCH(H54,'1.9 Tipos Matricula'!$A$2:$A$61,0)),"")</f>
        <v/>
      </c>
      <c r="S54" t="str">
        <f t="shared" si="9"/>
        <v/>
      </c>
    </row>
    <row r="55" spans="5:19" x14ac:dyDescent="0.35">
      <c r="E55" s="15"/>
      <c r="F55" s="15"/>
      <c r="K55" t="str">
        <f t="shared" si="5"/>
        <v/>
      </c>
      <c r="L55" t="str">
        <f t="shared" si="6"/>
        <v/>
      </c>
      <c r="M55" t="str">
        <f>IFERROR(INDEX('2.4 Curriculos'!$C$2:$C$61,MATCH(C55,'2.4 Curriculos'!$B$2:$B$61,0)),"")</f>
        <v/>
      </c>
      <c r="N55" t="str">
        <f>IFERROR(INDEX('2.3 Periodos'!$B$2:$B$61,MATCH(D55,'2.3 Periodos'!$A$2:$A$61,0)),"")</f>
        <v/>
      </c>
      <c r="O55" t="str">
        <f t="shared" si="7"/>
        <v/>
      </c>
      <c r="P55" t="str">
        <f t="shared" si="8"/>
        <v/>
      </c>
      <c r="Q55" t="str">
        <f>IFERROR(INDEX('1.8 Sit Enturmacao'!$B$2:$B$61,MATCH(G55,'1.8 Sit Enturmacao'!$A$2:$A$61,0)),"")</f>
        <v/>
      </c>
      <c r="R55" t="str">
        <f>IFERROR(INDEX('1.9 Tipos Matricula'!$B$2:$B$61,MATCH(H55,'1.9 Tipos Matricula'!$A$2:$A$61,0)),"")</f>
        <v/>
      </c>
      <c r="S55" t="str">
        <f t="shared" si="9"/>
        <v/>
      </c>
    </row>
    <row r="56" spans="5:19" x14ac:dyDescent="0.35">
      <c r="E56" s="15"/>
      <c r="F56" s="15"/>
      <c r="K56" t="str">
        <f t="shared" si="5"/>
        <v/>
      </c>
      <c r="L56" t="str">
        <f t="shared" si="6"/>
        <v/>
      </c>
      <c r="M56" t="str">
        <f>IFERROR(INDEX('2.4 Curriculos'!$C$2:$C$61,MATCH(C56,'2.4 Curriculos'!$B$2:$B$61,0)),"")</f>
        <v/>
      </c>
      <c r="N56" t="str">
        <f>IFERROR(INDEX('2.3 Periodos'!$B$2:$B$61,MATCH(D56,'2.3 Periodos'!$A$2:$A$61,0)),"")</f>
        <v/>
      </c>
      <c r="O56" t="str">
        <f t="shared" si="7"/>
        <v/>
      </c>
      <c r="P56" t="str">
        <f t="shared" si="8"/>
        <v/>
      </c>
      <c r="Q56" t="str">
        <f>IFERROR(INDEX('1.8 Sit Enturmacao'!$B$2:$B$61,MATCH(G56,'1.8 Sit Enturmacao'!$A$2:$A$61,0)),"")</f>
        <v/>
      </c>
      <c r="R56" t="str">
        <f>IFERROR(INDEX('1.9 Tipos Matricula'!$B$2:$B$61,MATCH(H56,'1.9 Tipos Matricula'!$A$2:$A$61,0)),"")</f>
        <v/>
      </c>
      <c r="S56" t="str">
        <f t="shared" si="9"/>
        <v/>
      </c>
    </row>
    <row r="57" spans="5:19" x14ac:dyDescent="0.35">
      <c r="E57" s="15"/>
      <c r="F57" s="15"/>
      <c r="K57" t="str">
        <f t="shared" si="5"/>
        <v/>
      </c>
      <c r="L57" t="str">
        <f t="shared" si="6"/>
        <v/>
      </c>
      <c r="M57" t="str">
        <f>IFERROR(INDEX('2.4 Curriculos'!$C$2:$C$61,MATCH(C57,'2.4 Curriculos'!$B$2:$B$61,0)),"")</f>
        <v/>
      </c>
      <c r="N57" t="str">
        <f>IFERROR(INDEX('2.3 Periodos'!$B$2:$B$61,MATCH(D57,'2.3 Periodos'!$A$2:$A$61,0)),"")</f>
        <v/>
      </c>
      <c r="O57" t="str">
        <f t="shared" si="7"/>
        <v/>
      </c>
      <c r="P57" t="str">
        <f t="shared" si="8"/>
        <v/>
      </c>
      <c r="Q57" t="str">
        <f>IFERROR(INDEX('1.8 Sit Enturmacao'!$B$2:$B$61,MATCH(G57,'1.8 Sit Enturmacao'!$A$2:$A$61,0)),"")</f>
        <v/>
      </c>
      <c r="R57" t="str">
        <f>IFERROR(INDEX('1.9 Tipos Matricula'!$B$2:$B$61,MATCH(H57,'1.9 Tipos Matricula'!$A$2:$A$61,0)),"")</f>
        <v/>
      </c>
      <c r="S57" t="str">
        <f t="shared" si="9"/>
        <v/>
      </c>
    </row>
    <row r="58" spans="5:19" x14ac:dyDescent="0.35">
      <c r="E58" s="15"/>
      <c r="F58" s="15"/>
      <c r="K58" t="str">
        <f t="shared" si="5"/>
        <v/>
      </c>
      <c r="L58" t="str">
        <f t="shared" si="6"/>
        <v/>
      </c>
      <c r="M58" t="str">
        <f>IFERROR(INDEX('2.4 Curriculos'!$C$2:$C$61,MATCH(C58,'2.4 Curriculos'!$B$2:$B$61,0)),"")</f>
        <v/>
      </c>
      <c r="N58" t="str">
        <f>IFERROR(INDEX('2.3 Periodos'!$B$2:$B$61,MATCH(D58,'2.3 Periodos'!$A$2:$A$61,0)),"")</f>
        <v/>
      </c>
      <c r="O58" t="str">
        <f t="shared" si="7"/>
        <v/>
      </c>
      <c r="P58" t="str">
        <f t="shared" si="8"/>
        <v/>
      </c>
      <c r="Q58" t="str">
        <f>IFERROR(INDEX('1.8 Sit Enturmacao'!$B$2:$B$61,MATCH(G58,'1.8 Sit Enturmacao'!$A$2:$A$61,0)),"")</f>
        <v/>
      </c>
      <c r="R58" t="str">
        <f>IFERROR(INDEX('1.9 Tipos Matricula'!$B$2:$B$61,MATCH(H58,'1.9 Tipos Matricula'!$A$2:$A$61,0)),"")</f>
        <v/>
      </c>
      <c r="S58" t="str">
        <f t="shared" si="9"/>
        <v/>
      </c>
    </row>
    <row r="59" spans="5:19" x14ac:dyDescent="0.35">
      <c r="E59" s="15"/>
      <c r="F59" s="15"/>
      <c r="K59" t="str">
        <f t="shared" si="5"/>
        <v/>
      </c>
      <c r="L59" t="str">
        <f t="shared" si="6"/>
        <v/>
      </c>
      <c r="M59" t="str">
        <f>IFERROR(INDEX('2.4 Curriculos'!$C$2:$C$61,MATCH(C59,'2.4 Curriculos'!$B$2:$B$61,0)),"")</f>
        <v/>
      </c>
      <c r="N59" t="str">
        <f>IFERROR(INDEX('2.3 Periodos'!$B$2:$B$61,MATCH(D59,'2.3 Periodos'!$A$2:$A$61,0)),"")</f>
        <v/>
      </c>
      <c r="O59" t="str">
        <f t="shared" si="7"/>
        <v/>
      </c>
      <c r="P59" t="str">
        <f t="shared" si="8"/>
        <v/>
      </c>
      <c r="Q59" t="str">
        <f>IFERROR(INDEX('1.8 Sit Enturmacao'!$B$2:$B$61,MATCH(G59,'1.8 Sit Enturmacao'!$A$2:$A$61,0)),"")</f>
        <v/>
      </c>
      <c r="R59" t="str">
        <f>IFERROR(INDEX('1.9 Tipos Matricula'!$B$2:$B$61,MATCH(H59,'1.9 Tipos Matricula'!$A$2:$A$61,0)),"")</f>
        <v/>
      </c>
      <c r="S59" t="str">
        <f t="shared" si="9"/>
        <v/>
      </c>
    </row>
    <row r="60" spans="5:19" x14ac:dyDescent="0.35">
      <c r="E60" s="15"/>
      <c r="F60" s="15"/>
      <c r="K60" t="str">
        <f t="shared" si="5"/>
        <v/>
      </c>
      <c r="L60" t="str">
        <f t="shared" si="6"/>
        <v/>
      </c>
      <c r="M60" t="str">
        <f>IFERROR(INDEX('2.4 Curriculos'!$C$2:$C$61,MATCH(C60,'2.4 Curriculos'!$B$2:$B$61,0)),"")</f>
        <v/>
      </c>
      <c r="N60" t="str">
        <f>IFERROR(INDEX('2.3 Periodos'!$B$2:$B$61,MATCH(D60,'2.3 Periodos'!$A$2:$A$61,0)),"")</f>
        <v/>
      </c>
      <c r="O60" t="str">
        <f t="shared" si="7"/>
        <v/>
      </c>
      <c r="P60" t="str">
        <f t="shared" si="8"/>
        <v/>
      </c>
      <c r="Q60" t="str">
        <f>IFERROR(INDEX('1.8 Sit Enturmacao'!$B$2:$B$61,MATCH(G60,'1.8 Sit Enturmacao'!$A$2:$A$61,0)),"")</f>
        <v/>
      </c>
      <c r="R60" t="str">
        <f>IFERROR(INDEX('1.9 Tipos Matricula'!$B$2:$B$61,MATCH(H60,'1.9 Tipos Matricula'!$A$2:$A$61,0)),"")</f>
        <v/>
      </c>
      <c r="S60" t="str">
        <f t="shared" si="9"/>
        <v/>
      </c>
    </row>
    <row r="61" spans="5:19" x14ac:dyDescent="0.35">
      <c r="E61" s="15"/>
      <c r="F61" s="15"/>
      <c r="K61" t="str">
        <f t="shared" si="5"/>
        <v/>
      </c>
      <c r="L61" t="str">
        <f t="shared" si="6"/>
        <v/>
      </c>
      <c r="M61" t="str">
        <f>IFERROR(INDEX('2.4 Curriculos'!$C$2:$C$61,MATCH(C61,'2.4 Curriculos'!$B$2:$B$61,0)),"")</f>
        <v/>
      </c>
      <c r="N61" t="str">
        <f>IFERROR(INDEX('2.3 Periodos'!$B$2:$B$61,MATCH(D61,'2.3 Periodos'!$A$2:$A$61,0)),"")</f>
        <v/>
      </c>
      <c r="O61" t="str">
        <f t="shared" si="7"/>
        <v/>
      </c>
      <c r="P61" t="str">
        <f t="shared" si="8"/>
        <v/>
      </c>
      <c r="Q61" t="str">
        <f>IFERROR(INDEX('1.8 Sit Enturmacao'!$B$2:$B$61,MATCH(G61,'1.8 Sit Enturmacao'!$A$2:$A$61,0)),"")</f>
        <v/>
      </c>
      <c r="R61" t="str">
        <f>IFERROR(INDEX('1.9 Tipos Matricula'!$B$2:$B$61,MATCH(H61,'1.9 Tipos Matricula'!$A$2:$A$61,0)),"")</f>
        <v/>
      </c>
      <c r="S61" t="str">
        <f t="shared" si="9"/>
        <v/>
      </c>
    </row>
  </sheetData>
  <autoFilter ref="A1:I1"/>
  <conditionalFormatting sqref="A3:A61">
    <cfRule type="expression" dxfId="16" priority="2">
      <formula>AND($A3="",COUNTA($A3:$I3)&gt;0)</formula>
    </cfRule>
  </conditionalFormatting>
  <conditionalFormatting sqref="B3:B61">
    <cfRule type="expression" dxfId="15" priority="3">
      <formula>AND($B3="",COUNTA($A3:$I3)&gt;0)</formula>
    </cfRule>
  </conditionalFormatting>
  <conditionalFormatting sqref="C3:C61">
    <cfRule type="expression" dxfId="14" priority="4">
      <formula>AND($C3="",COUNTA($A3:$I3)&gt;0)</formula>
    </cfRule>
  </conditionalFormatting>
  <conditionalFormatting sqref="G3:G61">
    <cfRule type="expression" dxfId="13" priority="5">
      <formula>AND($G3="",COUNTA($A3:$I3)&gt;0)</formula>
    </cfRule>
  </conditionalFormatting>
  <dataValidations count="1">
    <dataValidation type="textLength" operator="lessThanOrEqual" allowBlank="1" errorTitle="Texto muito longo" error="Máximo de 50 caracteres" sqref="I2:I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>
          <x14:formula1>
            <xm:f>'4.2 Matriculas'!$H$2:$H$61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'2.6 Turmas Disc'!$I$2:$I$61</xm:f>
          </x14:formula1>
          <x14:formula2>
            <xm:f>0</xm:f>
          </x14:formula2>
          <xm:sqref>B2:B61</xm:sqref>
        </x14:dataValidation>
        <x14:dataValidation type="list" allowBlank="1">
          <x14:formula1>
            <xm:f>'2.4 Curriculos'!$B$2:$B$61</xm:f>
          </x14:formula1>
          <x14:formula2>
            <xm:f>0</xm:f>
          </x14:formula2>
          <xm:sqref>C2:C61</xm:sqref>
        </x14:dataValidation>
        <x14:dataValidation type="list" allowBlank="1">
          <x14:formula1>
            <xm:f>'2.3 Periodos'!$A$2:$A$61</xm:f>
          </x14:formula1>
          <x14:formula2>
            <xm:f>0</xm:f>
          </x14:formula2>
          <xm:sqref>D2:D61</xm:sqref>
        </x14:dataValidation>
        <x14:dataValidation type="list" allowBlank="1">
          <x14:formula1>
            <xm:f>'1.8 Sit Enturmacao'!$A$2:$A$61</xm:f>
          </x14:formula1>
          <x14:formula2>
            <xm:f>0</xm:f>
          </x14:formula2>
          <xm:sqref>G2:G61</xm:sqref>
        </x14:dataValidation>
        <x14:dataValidation type="list" allowBlank="1">
          <x14:formula1>
            <xm:f>'1.9 Tipos Matricula'!$A$2:$A$61</xm:f>
          </x14:formula1>
          <x14:formula2>
            <xm:f>0</xm:f>
          </x14:formula2>
          <xm:sqref>H2:H61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95959"/>
  </sheetPr>
  <dimension ref="A1:I61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16" customWidth="1"/>
    <col min="2" max="2" width="28" customWidth="1"/>
    <col min="3" max="3" width="10" customWidth="1"/>
    <col min="4" max="4" width="20" customWidth="1"/>
    <col min="6" max="9" width="16" hidden="1" customWidth="1"/>
  </cols>
  <sheetData>
    <row r="1" spans="1:9" ht="31.5" customHeight="1" x14ac:dyDescent="0.35">
      <c r="A1" s="18" t="s">
        <v>32</v>
      </c>
      <c r="B1" s="18" t="s">
        <v>31</v>
      </c>
      <c r="C1" s="18" t="s">
        <v>53</v>
      </c>
      <c r="D1" s="18" t="s">
        <v>184</v>
      </c>
      <c r="F1" s="10" t="s">
        <v>35</v>
      </c>
      <c r="G1" s="10" t="s">
        <v>34</v>
      </c>
      <c r="H1" s="10" t="s">
        <v>46</v>
      </c>
      <c r="I1" s="10" t="s">
        <v>186</v>
      </c>
    </row>
    <row r="2" spans="1:9" x14ac:dyDescent="0.35">
      <c r="A2" s="11" t="s">
        <v>217</v>
      </c>
      <c r="B2" s="11" t="s">
        <v>218</v>
      </c>
      <c r="C2" s="11" t="s">
        <v>49</v>
      </c>
      <c r="D2" s="11" t="s">
        <v>178</v>
      </c>
      <c r="F2" t="str">
        <f t="shared" ref="F2:F33" si="0">IF(A2="","",A2)</f>
        <v>GRPSET-001</v>
      </c>
      <c r="G2" t="str">
        <f t="shared" ref="G2:G33" si="1">IF(B2="","",B2)</f>
        <v>Conjunto de Grupos A</v>
      </c>
      <c r="H2" t="str">
        <f t="shared" ref="H2:H33" si="2">IF(C2="Sim","true",IF(C2="Não","false",""))</f>
        <v>true</v>
      </c>
      <c r="I2" t="str">
        <f t="shared" ref="I2:I33" si="3">IF(D2="","",D2)</f>
        <v>TURDISC-001</v>
      </c>
    </row>
    <row r="3" spans="1:9" x14ac:dyDescent="0.35">
      <c r="F3" t="str">
        <f t="shared" si="0"/>
        <v/>
      </c>
      <c r="G3" t="str">
        <f t="shared" si="1"/>
        <v/>
      </c>
      <c r="H3" t="str">
        <f t="shared" si="2"/>
        <v/>
      </c>
      <c r="I3" t="str">
        <f t="shared" si="3"/>
        <v/>
      </c>
    </row>
    <row r="4" spans="1:9" x14ac:dyDescent="0.35">
      <c r="F4" t="str">
        <f t="shared" si="0"/>
        <v/>
      </c>
      <c r="G4" t="str">
        <f t="shared" si="1"/>
        <v/>
      </c>
      <c r="H4" t="str">
        <f t="shared" si="2"/>
        <v/>
      </c>
      <c r="I4" t="str">
        <f t="shared" si="3"/>
        <v/>
      </c>
    </row>
    <row r="5" spans="1:9" x14ac:dyDescent="0.35">
      <c r="F5" t="str">
        <f t="shared" si="0"/>
        <v/>
      </c>
      <c r="G5" t="str">
        <f t="shared" si="1"/>
        <v/>
      </c>
      <c r="H5" t="str">
        <f t="shared" si="2"/>
        <v/>
      </c>
      <c r="I5" t="str">
        <f t="shared" si="3"/>
        <v/>
      </c>
    </row>
    <row r="6" spans="1:9" x14ac:dyDescent="0.35">
      <c r="F6" t="str">
        <f t="shared" si="0"/>
        <v/>
      </c>
      <c r="G6" t="str">
        <f t="shared" si="1"/>
        <v/>
      </c>
      <c r="H6" t="str">
        <f t="shared" si="2"/>
        <v/>
      </c>
      <c r="I6" t="str">
        <f t="shared" si="3"/>
        <v/>
      </c>
    </row>
    <row r="7" spans="1:9" x14ac:dyDescent="0.35">
      <c r="F7" t="str">
        <f t="shared" si="0"/>
        <v/>
      </c>
      <c r="G7" t="str">
        <f t="shared" si="1"/>
        <v/>
      </c>
      <c r="H7" t="str">
        <f t="shared" si="2"/>
        <v/>
      </c>
      <c r="I7" t="str">
        <f t="shared" si="3"/>
        <v/>
      </c>
    </row>
    <row r="8" spans="1:9" x14ac:dyDescent="0.35">
      <c r="F8" t="str">
        <f t="shared" si="0"/>
        <v/>
      </c>
      <c r="G8" t="str">
        <f t="shared" si="1"/>
        <v/>
      </c>
      <c r="H8" t="str">
        <f t="shared" si="2"/>
        <v/>
      </c>
      <c r="I8" t="str">
        <f t="shared" si="3"/>
        <v/>
      </c>
    </row>
    <row r="9" spans="1:9" x14ac:dyDescent="0.35">
      <c r="F9" t="str">
        <f t="shared" si="0"/>
        <v/>
      </c>
      <c r="G9" t="str">
        <f t="shared" si="1"/>
        <v/>
      </c>
      <c r="H9" t="str">
        <f t="shared" si="2"/>
        <v/>
      </c>
      <c r="I9" t="str">
        <f t="shared" si="3"/>
        <v/>
      </c>
    </row>
    <row r="10" spans="1:9" x14ac:dyDescent="0.35">
      <c r="F10" t="str">
        <f t="shared" si="0"/>
        <v/>
      </c>
      <c r="G10" t="str">
        <f t="shared" si="1"/>
        <v/>
      </c>
      <c r="H10" t="str">
        <f t="shared" si="2"/>
        <v/>
      </c>
      <c r="I10" t="str">
        <f t="shared" si="3"/>
        <v/>
      </c>
    </row>
    <row r="11" spans="1:9" x14ac:dyDescent="0.35">
      <c r="F11" t="str">
        <f t="shared" si="0"/>
        <v/>
      </c>
      <c r="G11" t="str">
        <f t="shared" si="1"/>
        <v/>
      </c>
      <c r="H11" t="str">
        <f t="shared" si="2"/>
        <v/>
      </c>
      <c r="I11" t="str">
        <f t="shared" si="3"/>
        <v/>
      </c>
    </row>
    <row r="12" spans="1:9" x14ac:dyDescent="0.35">
      <c r="F12" t="str">
        <f t="shared" si="0"/>
        <v/>
      </c>
      <c r="G12" t="str">
        <f t="shared" si="1"/>
        <v/>
      </c>
      <c r="H12" t="str">
        <f t="shared" si="2"/>
        <v/>
      </c>
      <c r="I12" t="str">
        <f t="shared" si="3"/>
        <v/>
      </c>
    </row>
    <row r="13" spans="1:9" x14ac:dyDescent="0.35">
      <c r="F13" t="str">
        <f t="shared" si="0"/>
        <v/>
      </c>
      <c r="G13" t="str">
        <f t="shared" si="1"/>
        <v/>
      </c>
      <c r="H13" t="str">
        <f t="shared" si="2"/>
        <v/>
      </c>
      <c r="I13" t="str">
        <f t="shared" si="3"/>
        <v/>
      </c>
    </row>
    <row r="14" spans="1:9" x14ac:dyDescent="0.35">
      <c r="F14" t="str">
        <f t="shared" si="0"/>
        <v/>
      </c>
      <c r="G14" t="str">
        <f t="shared" si="1"/>
        <v/>
      </c>
      <c r="H14" t="str">
        <f t="shared" si="2"/>
        <v/>
      </c>
      <c r="I14" t="str">
        <f t="shared" si="3"/>
        <v/>
      </c>
    </row>
    <row r="15" spans="1:9" x14ac:dyDescent="0.35">
      <c r="F15" t="str">
        <f t="shared" si="0"/>
        <v/>
      </c>
      <c r="G15" t="str">
        <f t="shared" si="1"/>
        <v/>
      </c>
      <c r="H15" t="str">
        <f t="shared" si="2"/>
        <v/>
      </c>
      <c r="I15" t="str">
        <f t="shared" si="3"/>
        <v/>
      </c>
    </row>
    <row r="16" spans="1:9" x14ac:dyDescent="0.35">
      <c r="F16" t="str">
        <f t="shared" si="0"/>
        <v/>
      </c>
      <c r="G16" t="str">
        <f t="shared" si="1"/>
        <v/>
      </c>
      <c r="H16" t="str">
        <f t="shared" si="2"/>
        <v/>
      </c>
      <c r="I16" t="str">
        <f t="shared" si="3"/>
        <v/>
      </c>
    </row>
    <row r="17" spans="6:9" x14ac:dyDescent="0.35">
      <c r="F17" t="str">
        <f t="shared" si="0"/>
        <v/>
      </c>
      <c r="G17" t="str">
        <f t="shared" si="1"/>
        <v/>
      </c>
      <c r="H17" t="str">
        <f t="shared" si="2"/>
        <v/>
      </c>
      <c r="I17" t="str">
        <f t="shared" si="3"/>
        <v/>
      </c>
    </row>
    <row r="18" spans="6:9" x14ac:dyDescent="0.35">
      <c r="F18" t="str">
        <f t="shared" si="0"/>
        <v/>
      </c>
      <c r="G18" t="str">
        <f t="shared" si="1"/>
        <v/>
      </c>
      <c r="H18" t="str">
        <f t="shared" si="2"/>
        <v/>
      </c>
      <c r="I18" t="str">
        <f t="shared" si="3"/>
        <v/>
      </c>
    </row>
    <row r="19" spans="6:9" x14ac:dyDescent="0.35">
      <c r="F19" t="str">
        <f t="shared" si="0"/>
        <v/>
      </c>
      <c r="G19" t="str">
        <f t="shared" si="1"/>
        <v/>
      </c>
      <c r="H19" t="str">
        <f t="shared" si="2"/>
        <v/>
      </c>
      <c r="I19" t="str">
        <f t="shared" si="3"/>
        <v/>
      </c>
    </row>
    <row r="20" spans="6:9" x14ac:dyDescent="0.35">
      <c r="F20" t="str">
        <f t="shared" si="0"/>
        <v/>
      </c>
      <c r="G20" t="str">
        <f t="shared" si="1"/>
        <v/>
      </c>
      <c r="H20" t="str">
        <f t="shared" si="2"/>
        <v/>
      </c>
      <c r="I20" t="str">
        <f t="shared" si="3"/>
        <v/>
      </c>
    </row>
    <row r="21" spans="6:9" x14ac:dyDescent="0.35">
      <c r="F21" t="str">
        <f t="shared" si="0"/>
        <v/>
      </c>
      <c r="G21" t="str">
        <f t="shared" si="1"/>
        <v/>
      </c>
      <c r="H21" t="str">
        <f t="shared" si="2"/>
        <v/>
      </c>
      <c r="I21" t="str">
        <f t="shared" si="3"/>
        <v/>
      </c>
    </row>
    <row r="22" spans="6:9" x14ac:dyDescent="0.35">
      <c r="F22" t="str">
        <f t="shared" si="0"/>
        <v/>
      </c>
      <c r="G22" t="str">
        <f t="shared" si="1"/>
        <v/>
      </c>
      <c r="H22" t="str">
        <f t="shared" si="2"/>
        <v/>
      </c>
      <c r="I22" t="str">
        <f t="shared" si="3"/>
        <v/>
      </c>
    </row>
    <row r="23" spans="6:9" x14ac:dyDescent="0.35">
      <c r="F23" t="str">
        <f t="shared" si="0"/>
        <v/>
      </c>
      <c r="G23" t="str">
        <f t="shared" si="1"/>
        <v/>
      </c>
      <c r="H23" t="str">
        <f t="shared" si="2"/>
        <v/>
      </c>
      <c r="I23" t="str">
        <f t="shared" si="3"/>
        <v/>
      </c>
    </row>
    <row r="24" spans="6:9" x14ac:dyDescent="0.35">
      <c r="F24" t="str">
        <f t="shared" si="0"/>
        <v/>
      </c>
      <c r="G24" t="str">
        <f t="shared" si="1"/>
        <v/>
      </c>
      <c r="H24" t="str">
        <f t="shared" si="2"/>
        <v/>
      </c>
      <c r="I24" t="str">
        <f t="shared" si="3"/>
        <v/>
      </c>
    </row>
    <row r="25" spans="6:9" x14ac:dyDescent="0.35">
      <c r="F25" t="str">
        <f t="shared" si="0"/>
        <v/>
      </c>
      <c r="G25" t="str">
        <f t="shared" si="1"/>
        <v/>
      </c>
      <c r="H25" t="str">
        <f t="shared" si="2"/>
        <v/>
      </c>
      <c r="I25" t="str">
        <f t="shared" si="3"/>
        <v/>
      </c>
    </row>
    <row r="26" spans="6:9" x14ac:dyDescent="0.35">
      <c r="F26" t="str">
        <f t="shared" si="0"/>
        <v/>
      </c>
      <c r="G26" t="str">
        <f t="shared" si="1"/>
        <v/>
      </c>
      <c r="H26" t="str">
        <f t="shared" si="2"/>
        <v/>
      </c>
      <c r="I26" t="str">
        <f t="shared" si="3"/>
        <v/>
      </c>
    </row>
    <row r="27" spans="6:9" x14ac:dyDescent="0.35">
      <c r="F27" t="str">
        <f t="shared" si="0"/>
        <v/>
      </c>
      <c r="G27" t="str">
        <f t="shared" si="1"/>
        <v/>
      </c>
      <c r="H27" t="str">
        <f t="shared" si="2"/>
        <v/>
      </c>
      <c r="I27" t="str">
        <f t="shared" si="3"/>
        <v/>
      </c>
    </row>
    <row r="28" spans="6:9" x14ac:dyDescent="0.35">
      <c r="F28" t="str">
        <f t="shared" si="0"/>
        <v/>
      </c>
      <c r="G28" t="str">
        <f t="shared" si="1"/>
        <v/>
      </c>
      <c r="H28" t="str">
        <f t="shared" si="2"/>
        <v/>
      </c>
      <c r="I28" t="str">
        <f t="shared" si="3"/>
        <v/>
      </c>
    </row>
    <row r="29" spans="6:9" x14ac:dyDescent="0.35">
      <c r="F29" t="str">
        <f t="shared" si="0"/>
        <v/>
      </c>
      <c r="G29" t="str">
        <f t="shared" si="1"/>
        <v/>
      </c>
      <c r="H29" t="str">
        <f t="shared" si="2"/>
        <v/>
      </c>
      <c r="I29" t="str">
        <f t="shared" si="3"/>
        <v/>
      </c>
    </row>
    <row r="30" spans="6:9" x14ac:dyDescent="0.35">
      <c r="F30" t="str">
        <f t="shared" si="0"/>
        <v/>
      </c>
      <c r="G30" t="str">
        <f t="shared" si="1"/>
        <v/>
      </c>
      <c r="H30" t="str">
        <f t="shared" si="2"/>
        <v/>
      </c>
      <c r="I30" t="str">
        <f t="shared" si="3"/>
        <v/>
      </c>
    </row>
    <row r="31" spans="6:9" x14ac:dyDescent="0.35"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 t="shared" si="3"/>
        <v/>
      </c>
    </row>
    <row r="32" spans="6:9" x14ac:dyDescent="0.35"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 t="shared" si="3"/>
        <v/>
      </c>
    </row>
    <row r="33" spans="6:9" x14ac:dyDescent="0.35">
      <c r="F33" t="str">
        <f t="shared" si="0"/>
        <v/>
      </c>
      <c r="G33" t="str">
        <f t="shared" si="1"/>
        <v/>
      </c>
      <c r="H33" t="str">
        <f t="shared" si="2"/>
        <v/>
      </c>
      <c r="I33" t="str">
        <f t="shared" si="3"/>
        <v/>
      </c>
    </row>
    <row r="34" spans="6:9" x14ac:dyDescent="0.35">
      <c r="F34" t="str">
        <f t="shared" ref="F34:F61" si="4">IF(A34="","",A34)</f>
        <v/>
      </c>
      <c r="G34" t="str">
        <f t="shared" ref="G34:G61" si="5">IF(B34="","",B34)</f>
        <v/>
      </c>
      <c r="H34" t="str">
        <f t="shared" ref="H34:H61" si="6">IF(C34="Sim","true",IF(C34="Não","false",""))</f>
        <v/>
      </c>
      <c r="I34" t="str">
        <f t="shared" ref="I34:I61" si="7">IF(D34="","",D34)</f>
        <v/>
      </c>
    </row>
    <row r="35" spans="6:9" x14ac:dyDescent="0.35">
      <c r="F35" t="str">
        <f t="shared" si="4"/>
        <v/>
      </c>
      <c r="G35" t="str">
        <f t="shared" si="5"/>
        <v/>
      </c>
      <c r="H35" t="str">
        <f t="shared" si="6"/>
        <v/>
      </c>
      <c r="I35" t="str">
        <f t="shared" si="7"/>
        <v/>
      </c>
    </row>
    <row r="36" spans="6:9" x14ac:dyDescent="0.35">
      <c r="F36" t="str">
        <f t="shared" si="4"/>
        <v/>
      </c>
      <c r="G36" t="str">
        <f t="shared" si="5"/>
        <v/>
      </c>
      <c r="H36" t="str">
        <f t="shared" si="6"/>
        <v/>
      </c>
      <c r="I36" t="str">
        <f t="shared" si="7"/>
        <v/>
      </c>
    </row>
    <row r="37" spans="6:9" x14ac:dyDescent="0.35">
      <c r="F37" t="str">
        <f t="shared" si="4"/>
        <v/>
      </c>
      <c r="G37" t="str">
        <f t="shared" si="5"/>
        <v/>
      </c>
      <c r="H37" t="str">
        <f t="shared" si="6"/>
        <v/>
      </c>
      <c r="I37" t="str">
        <f t="shared" si="7"/>
        <v/>
      </c>
    </row>
    <row r="38" spans="6:9" x14ac:dyDescent="0.35">
      <c r="F38" t="str">
        <f t="shared" si="4"/>
        <v/>
      </c>
      <c r="G38" t="str">
        <f t="shared" si="5"/>
        <v/>
      </c>
      <c r="H38" t="str">
        <f t="shared" si="6"/>
        <v/>
      </c>
      <c r="I38" t="str">
        <f t="shared" si="7"/>
        <v/>
      </c>
    </row>
    <row r="39" spans="6:9" x14ac:dyDescent="0.35">
      <c r="F39" t="str">
        <f t="shared" si="4"/>
        <v/>
      </c>
      <c r="G39" t="str">
        <f t="shared" si="5"/>
        <v/>
      </c>
      <c r="H39" t="str">
        <f t="shared" si="6"/>
        <v/>
      </c>
      <c r="I39" t="str">
        <f t="shared" si="7"/>
        <v/>
      </c>
    </row>
    <row r="40" spans="6:9" x14ac:dyDescent="0.35">
      <c r="F40" t="str">
        <f t="shared" si="4"/>
        <v/>
      </c>
      <c r="G40" t="str">
        <f t="shared" si="5"/>
        <v/>
      </c>
      <c r="H40" t="str">
        <f t="shared" si="6"/>
        <v/>
      </c>
      <c r="I40" t="str">
        <f t="shared" si="7"/>
        <v/>
      </c>
    </row>
    <row r="41" spans="6:9" x14ac:dyDescent="0.35">
      <c r="F41" t="str">
        <f t="shared" si="4"/>
        <v/>
      </c>
      <c r="G41" t="str">
        <f t="shared" si="5"/>
        <v/>
      </c>
      <c r="H41" t="str">
        <f t="shared" si="6"/>
        <v/>
      </c>
      <c r="I41" t="str">
        <f t="shared" si="7"/>
        <v/>
      </c>
    </row>
    <row r="42" spans="6:9" x14ac:dyDescent="0.35">
      <c r="F42" t="str">
        <f t="shared" si="4"/>
        <v/>
      </c>
      <c r="G42" t="str">
        <f t="shared" si="5"/>
        <v/>
      </c>
      <c r="H42" t="str">
        <f t="shared" si="6"/>
        <v/>
      </c>
      <c r="I42" t="str">
        <f t="shared" si="7"/>
        <v/>
      </c>
    </row>
    <row r="43" spans="6:9" x14ac:dyDescent="0.35">
      <c r="F43" t="str">
        <f t="shared" si="4"/>
        <v/>
      </c>
      <c r="G43" t="str">
        <f t="shared" si="5"/>
        <v/>
      </c>
      <c r="H43" t="str">
        <f t="shared" si="6"/>
        <v/>
      </c>
      <c r="I43" t="str">
        <f t="shared" si="7"/>
        <v/>
      </c>
    </row>
    <row r="44" spans="6:9" x14ac:dyDescent="0.35">
      <c r="F44" t="str">
        <f t="shared" si="4"/>
        <v/>
      </c>
      <c r="G44" t="str">
        <f t="shared" si="5"/>
        <v/>
      </c>
      <c r="H44" t="str">
        <f t="shared" si="6"/>
        <v/>
      </c>
      <c r="I44" t="str">
        <f t="shared" si="7"/>
        <v/>
      </c>
    </row>
    <row r="45" spans="6:9" x14ac:dyDescent="0.35">
      <c r="F45" t="str">
        <f t="shared" si="4"/>
        <v/>
      </c>
      <c r="G45" t="str">
        <f t="shared" si="5"/>
        <v/>
      </c>
      <c r="H45" t="str">
        <f t="shared" si="6"/>
        <v/>
      </c>
      <c r="I45" t="str">
        <f t="shared" si="7"/>
        <v/>
      </c>
    </row>
    <row r="46" spans="6:9" x14ac:dyDescent="0.35">
      <c r="F46" t="str">
        <f t="shared" si="4"/>
        <v/>
      </c>
      <c r="G46" t="str">
        <f t="shared" si="5"/>
        <v/>
      </c>
      <c r="H46" t="str">
        <f t="shared" si="6"/>
        <v/>
      </c>
      <c r="I46" t="str">
        <f t="shared" si="7"/>
        <v/>
      </c>
    </row>
    <row r="47" spans="6:9" x14ac:dyDescent="0.35">
      <c r="F47" t="str">
        <f t="shared" si="4"/>
        <v/>
      </c>
      <c r="G47" t="str">
        <f t="shared" si="5"/>
        <v/>
      </c>
      <c r="H47" t="str">
        <f t="shared" si="6"/>
        <v/>
      </c>
      <c r="I47" t="str">
        <f t="shared" si="7"/>
        <v/>
      </c>
    </row>
    <row r="48" spans="6:9" x14ac:dyDescent="0.35">
      <c r="F48" t="str">
        <f t="shared" si="4"/>
        <v/>
      </c>
      <c r="G48" t="str">
        <f t="shared" si="5"/>
        <v/>
      </c>
      <c r="H48" t="str">
        <f t="shared" si="6"/>
        <v/>
      </c>
      <c r="I48" t="str">
        <f t="shared" si="7"/>
        <v/>
      </c>
    </row>
    <row r="49" spans="6:9" x14ac:dyDescent="0.35">
      <c r="F49" t="str">
        <f t="shared" si="4"/>
        <v/>
      </c>
      <c r="G49" t="str">
        <f t="shared" si="5"/>
        <v/>
      </c>
      <c r="H49" t="str">
        <f t="shared" si="6"/>
        <v/>
      </c>
      <c r="I49" t="str">
        <f t="shared" si="7"/>
        <v/>
      </c>
    </row>
    <row r="50" spans="6:9" x14ac:dyDescent="0.35">
      <c r="F50" t="str">
        <f t="shared" si="4"/>
        <v/>
      </c>
      <c r="G50" t="str">
        <f t="shared" si="5"/>
        <v/>
      </c>
      <c r="H50" t="str">
        <f t="shared" si="6"/>
        <v/>
      </c>
      <c r="I50" t="str">
        <f t="shared" si="7"/>
        <v/>
      </c>
    </row>
    <row r="51" spans="6:9" x14ac:dyDescent="0.35">
      <c r="F51" t="str">
        <f t="shared" si="4"/>
        <v/>
      </c>
      <c r="G51" t="str">
        <f t="shared" si="5"/>
        <v/>
      </c>
      <c r="H51" t="str">
        <f t="shared" si="6"/>
        <v/>
      </c>
      <c r="I51" t="str">
        <f t="shared" si="7"/>
        <v/>
      </c>
    </row>
    <row r="52" spans="6:9" x14ac:dyDescent="0.35">
      <c r="F52" t="str">
        <f t="shared" si="4"/>
        <v/>
      </c>
      <c r="G52" t="str">
        <f t="shared" si="5"/>
        <v/>
      </c>
      <c r="H52" t="str">
        <f t="shared" si="6"/>
        <v/>
      </c>
      <c r="I52" t="str">
        <f t="shared" si="7"/>
        <v/>
      </c>
    </row>
    <row r="53" spans="6:9" x14ac:dyDescent="0.35">
      <c r="F53" t="str">
        <f t="shared" si="4"/>
        <v/>
      </c>
      <c r="G53" t="str">
        <f t="shared" si="5"/>
        <v/>
      </c>
      <c r="H53" t="str">
        <f t="shared" si="6"/>
        <v/>
      </c>
      <c r="I53" t="str">
        <f t="shared" si="7"/>
        <v/>
      </c>
    </row>
    <row r="54" spans="6:9" x14ac:dyDescent="0.35">
      <c r="F54" t="str">
        <f t="shared" si="4"/>
        <v/>
      </c>
      <c r="G54" t="str">
        <f t="shared" si="5"/>
        <v/>
      </c>
      <c r="H54" t="str">
        <f t="shared" si="6"/>
        <v/>
      </c>
      <c r="I54" t="str">
        <f t="shared" si="7"/>
        <v/>
      </c>
    </row>
    <row r="55" spans="6:9" x14ac:dyDescent="0.35">
      <c r="F55" t="str">
        <f t="shared" si="4"/>
        <v/>
      </c>
      <c r="G55" t="str">
        <f t="shared" si="5"/>
        <v/>
      </c>
      <c r="H55" t="str">
        <f t="shared" si="6"/>
        <v/>
      </c>
      <c r="I55" t="str">
        <f t="shared" si="7"/>
        <v/>
      </c>
    </row>
    <row r="56" spans="6:9" x14ac:dyDescent="0.35">
      <c r="F56" t="str">
        <f t="shared" si="4"/>
        <v/>
      </c>
      <c r="G56" t="str">
        <f t="shared" si="5"/>
        <v/>
      </c>
      <c r="H56" t="str">
        <f t="shared" si="6"/>
        <v/>
      </c>
      <c r="I56" t="str">
        <f t="shared" si="7"/>
        <v/>
      </c>
    </row>
    <row r="57" spans="6:9" x14ac:dyDescent="0.35">
      <c r="F57" t="str">
        <f t="shared" si="4"/>
        <v/>
      </c>
      <c r="G57" t="str">
        <f t="shared" si="5"/>
        <v/>
      </c>
      <c r="H57" t="str">
        <f t="shared" si="6"/>
        <v/>
      </c>
      <c r="I57" t="str">
        <f t="shared" si="7"/>
        <v/>
      </c>
    </row>
    <row r="58" spans="6:9" x14ac:dyDescent="0.35">
      <c r="F58" t="str">
        <f t="shared" si="4"/>
        <v/>
      </c>
      <c r="G58" t="str">
        <f t="shared" si="5"/>
        <v/>
      </c>
      <c r="H58" t="str">
        <f t="shared" si="6"/>
        <v/>
      </c>
      <c r="I58" t="str">
        <f t="shared" si="7"/>
        <v/>
      </c>
    </row>
    <row r="59" spans="6:9" x14ac:dyDescent="0.35">
      <c r="F59" t="str">
        <f t="shared" si="4"/>
        <v/>
      </c>
      <c r="G59" t="str">
        <f t="shared" si="5"/>
        <v/>
      </c>
      <c r="H59" t="str">
        <f t="shared" si="6"/>
        <v/>
      </c>
      <c r="I59" t="str">
        <f t="shared" si="7"/>
        <v/>
      </c>
    </row>
    <row r="60" spans="6:9" x14ac:dyDescent="0.35">
      <c r="F60" t="str">
        <f t="shared" si="4"/>
        <v/>
      </c>
      <c r="G60" t="str">
        <f t="shared" si="5"/>
        <v/>
      </c>
      <c r="H60" t="str">
        <f t="shared" si="6"/>
        <v/>
      </c>
      <c r="I60" t="str">
        <f t="shared" si="7"/>
        <v/>
      </c>
    </row>
    <row r="61" spans="6:9" x14ac:dyDescent="0.35">
      <c r="F61" t="str">
        <f t="shared" si="4"/>
        <v/>
      </c>
      <c r="G61" t="str">
        <f t="shared" si="5"/>
        <v/>
      </c>
      <c r="H61" t="str">
        <f t="shared" si="6"/>
        <v/>
      </c>
      <c r="I61" t="str">
        <f t="shared" si="7"/>
        <v/>
      </c>
    </row>
  </sheetData>
  <autoFilter ref="A1:D1"/>
  <conditionalFormatting sqref="A3:A61">
    <cfRule type="expression" dxfId="12" priority="2">
      <formula>AND($A3="",COUNTA($A3:$D3)&gt;0)</formula>
    </cfRule>
  </conditionalFormatting>
  <conditionalFormatting sqref="B3:B61">
    <cfRule type="expression" dxfId="11" priority="3">
      <formula>AND($B3="",COUNTA($A3:$D3)&gt;0)</formula>
    </cfRule>
  </conditionalFormatting>
  <conditionalFormatting sqref="C3:C61">
    <cfRule type="expression" dxfId="10" priority="4">
      <formula>AND($C3="",COUNTA($A3:$D3)&gt;0)</formula>
    </cfRule>
  </conditionalFormatting>
  <conditionalFormatting sqref="D3:D61">
    <cfRule type="expression" dxfId="9" priority="5">
      <formula>AND($D3="",COUNTA($A3:$D3)&gt;0)</formula>
    </cfRule>
  </conditionalFormatting>
  <dataValidations count="3">
    <dataValidation type="textLength" operator="lessThanOrEqual" allowBlank="1" errorTitle="Texto muito longo" error="Máximo de 50 caracteres" sqref="A2:A61">
      <formula1>50</formula1>
      <formula2>0</formula2>
    </dataValidation>
    <dataValidation type="textLength" operator="lessThanOrEqual" allowBlank="1" errorTitle="Texto muito longo" error="Máximo de 255 caracteres" sqref="B2:B61">
      <formula1>255</formula1>
      <formula2>0</formula2>
    </dataValidation>
    <dataValidation type="list" allowBlank="1" sqref="C2:C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'2.6 Turmas Disc'!$I$2:$I$61</xm:f>
          </x14:formula1>
          <x14:formula2>
            <xm:f>0</xm:f>
          </x14:formula2>
          <xm:sqref>D2:D61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95959"/>
  </sheetPr>
  <dimension ref="A1:I61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16" customWidth="1"/>
    <col min="2" max="2" width="22" customWidth="1"/>
    <col min="3" max="3" width="10" customWidth="1"/>
    <col min="4" max="4" width="26" customWidth="1"/>
    <col min="6" max="9" width="16" hidden="1" customWidth="1"/>
  </cols>
  <sheetData>
    <row r="1" spans="1:9" ht="31.5" customHeight="1" x14ac:dyDescent="0.35">
      <c r="A1" s="18" t="s">
        <v>32</v>
      </c>
      <c r="B1" s="18" t="s">
        <v>31</v>
      </c>
      <c r="C1" s="18" t="s">
        <v>53</v>
      </c>
      <c r="D1" s="18" t="s">
        <v>219</v>
      </c>
      <c r="F1" s="10" t="s">
        <v>35</v>
      </c>
      <c r="G1" s="10" t="s">
        <v>34</v>
      </c>
      <c r="H1" s="10" t="s">
        <v>46</v>
      </c>
      <c r="I1" s="10" t="s">
        <v>220</v>
      </c>
    </row>
    <row r="2" spans="1:9" x14ac:dyDescent="0.35">
      <c r="A2" s="11" t="s">
        <v>221</v>
      </c>
      <c r="B2" s="11" t="s">
        <v>222</v>
      </c>
      <c r="C2" s="11" t="s">
        <v>49</v>
      </c>
      <c r="D2" s="11" t="s">
        <v>218</v>
      </c>
      <c r="F2" t="str">
        <f t="shared" ref="F2:F33" si="0">IF(A2="","",A2)</f>
        <v>GRP-001</v>
      </c>
      <c r="G2" t="str">
        <f t="shared" ref="G2:G33" si="1">IF(B2="","",B2)</f>
        <v>Grupo A</v>
      </c>
      <c r="H2" t="str">
        <f t="shared" ref="H2:H33" si="2">IF(C2="Sim","true",IF(C2="Não","false",""))</f>
        <v>true</v>
      </c>
      <c r="I2" t="str">
        <f>IFERROR(INDEX('5.1 Conjunto Grupos'!$A$2:$A$61,MATCH(D2,'5.1 Conjunto Grupos'!$B$2:$B$61,0)),"")</f>
        <v>GRPSET-001</v>
      </c>
    </row>
    <row r="3" spans="1:9" x14ac:dyDescent="0.35">
      <c r="F3" t="str">
        <f t="shared" si="0"/>
        <v/>
      </c>
      <c r="G3" t="str">
        <f t="shared" si="1"/>
        <v/>
      </c>
      <c r="H3" t="str">
        <f t="shared" si="2"/>
        <v/>
      </c>
      <c r="I3" t="str">
        <f>IFERROR(INDEX('5.1 Conjunto Grupos'!$A$2:$A$61,MATCH(D3,'5.1 Conjunto Grupos'!$B$2:$B$61,0)),"")</f>
        <v/>
      </c>
    </row>
    <row r="4" spans="1:9" x14ac:dyDescent="0.35">
      <c r="F4" t="str">
        <f t="shared" si="0"/>
        <v/>
      </c>
      <c r="G4" t="str">
        <f t="shared" si="1"/>
        <v/>
      </c>
      <c r="H4" t="str">
        <f t="shared" si="2"/>
        <v/>
      </c>
      <c r="I4" t="str">
        <f>IFERROR(INDEX('5.1 Conjunto Grupos'!$A$2:$A$61,MATCH(D4,'5.1 Conjunto Grupos'!$B$2:$B$61,0)),"")</f>
        <v/>
      </c>
    </row>
    <row r="5" spans="1:9" x14ac:dyDescent="0.35">
      <c r="F5" t="str">
        <f t="shared" si="0"/>
        <v/>
      </c>
      <c r="G5" t="str">
        <f t="shared" si="1"/>
        <v/>
      </c>
      <c r="H5" t="str">
        <f t="shared" si="2"/>
        <v/>
      </c>
      <c r="I5" t="str">
        <f>IFERROR(INDEX('5.1 Conjunto Grupos'!$A$2:$A$61,MATCH(D5,'5.1 Conjunto Grupos'!$B$2:$B$61,0)),"")</f>
        <v/>
      </c>
    </row>
    <row r="6" spans="1:9" x14ac:dyDescent="0.35">
      <c r="F6" t="str">
        <f t="shared" si="0"/>
        <v/>
      </c>
      <c r="G6" t="str">
        <f t="shared" si="1"/>
        <v/>
      </c>
      <c r="H6" t="str">
        <f t="shared" si="2"/>
        <v/>
      </c>
      <c r="I6" t="str">
        <f>IFERROR(INDEX('5.1 Conjunto Grupos'!$A$2:$A$61,MATCH(D6,'5.1 Conjunto Grupos'!$B$2:$B$61,0)),"")</f>
        <v/>
      </c>
    </row>
    <row r="7" spans="1:9" x14ac:dyDescent="0.35">
      <c r="F7" t="str">
        <f t="shared" si="0"/>
        <v/>
      </c>
      <c r="G7" t="str">
        <f t="shared" si="1"/>
        <v/>
      </c>
      <c r="H7" t="str">
        <f t="shared" si="2"/>
        <v/>
      </c>
      <c r="I7" t="str">
        <f>IFERROR(INDEX('5.1 Conjunto Grupos'!$A$2:$A$61,MATCH(D7,'5.1 Conjunto Grupos'!$B$2:$B$61,0)),"")</f>
        <v/>
      </c>
    </row>
    <row r="8" spans="1:9" x14ac:dyDescent="0.35">
      <c r="F8" t="str">
        <f t="shared" si="0"/>
        <v/>
      </c>
      <c r="G8" t="str">
        <f t="shared" si="1"/>
        <v/>
      </c>
      <c r="H8" t="str">
        <f t="shared" si="2"/>
        <v/>
      </c>
      <c r="I8" t="str">
        <f>IFERROR(INDEX('5.1 Conjunto Grupos'!$A$2:$A$61,MATCH(D8,'5.1 Conjunto Grupos'!$B$2:$B$61,0)),"")</f>
        <v/>
      </c>
    </row>
    <row r="9" spans="1:9" x14ac:dyDescent="0.35">
      <c r="F9" t="str">
        <f t="shared" si="0"/>
        <v/>
      </c>
      <c r="G9" t="str">
        <f t="shared" si="1"/>
        <v/>
      </c>
      <c r="H9" t="str">
        <f t="shared" si="2"/>
        <v/>
      </c>
      <c r="I9" t="str">
        <f>IFERROR(INDEX('5.1 Conjunto Grupos'!$A$2:$A$61,MATCH(D9,'5.1 Conjunto Grupos'!$B$2:$B$61,0)),"")</f>
        <v/>
      </c>
    </row>
    <row r="10" spans="1:9" x14ac:dyDescent="0.35">
      <c r="F10" t="str">
        <f t="shared" si="0"/>
        <v/>
      </c>
      <c r="G10" t="str">
        <f t="shared" si="1"/>
        <v/>
      </c>
      <c r="H10" t="str">
        <f t="shared" si="2"/>
        <v/>
      </c>
      <c r="I10" t="str">
        <f>IFERROR(INDEX('5.1 Conjunto Grupos'!$A$2:$A$61,MATCH(D10,'5.1 Conjunto Grupos'!$B$2:$B$61,0)),"")</f>
        <v/>
      </c>
    </row>
    <row r="11" spans="1:9" x14ac:dyDescent="0.35">
      <c r="F11" t="str">
        <f t="shared" si="0"/>
        <v/>
      </c>
      <c r="G11" t="str">
        <f t="shared" si="1"/>
        <v/>
      </c>
      <c r="H11" t="str">
        <f t="shared" si="2"/>
        <v/>
      </c>
      <c r="I11" t="str">
        <f>IFERROR(INDEX('5.1 Conjunto Grupos'!$A$2:$A$61,MATCH(D11,'5.1 Conjunto Grupos'!$B$2:$B$61,0)),"")</f>
        <v/>
      </c>
    </row>
    <row r="12" spans="1:9" x14ac:dyDescent="0.35">
      <c r="F12" t="str">
        <f t="shared" si="0"/>
        <v/>
      </c>
      <c r="G12" t="str">
        <f t="shared" si="1"/>
        <v/>
      </c>
      <c r="H12" t="str">
        <f t="shared" si="2"/>
        <v/>
      </c>
      <c r="I12" t="str">
        <f>IFERROR(INDEX('5.1 Conjunto Grupos'!$A$2:$A$61,MATCH(D12,'5.1 Conjunto Grupos'!$B$2:$B$61,0)),"")</f>
        <v/>
      </c>
    </row>
    <row r="13" spans="1:9" x14ac:dyDescent="0.35">
      <c r="F13" t="str">
        <f t="shared" si="0"/>
        <v/>
      </c>
      <c r="G13" t="str">
        <f t="shared" si="1"/>
        <v/>
      </c>
      <c r="H13" t="str">
        <f t="shared" si="2"/>
        <v/>
      </c>
      <c r="I13" t="str">
        <f>IFERROR(INDEX('5.1 Conjunto Grupos'!$A$2:$A$61,MATCH(D13,'5.1 Conjunto Grupos'!$B$2:$B$61,0)),"")</f>
        <v/>
      </c>
    </row>
    <row r="14" spans="1:9" x14ac:dyDescent="0.35">
      <c r="F14" t="str">
        <f t="shared" si="0"/>
        <v/>
      </c>
      <c r="G14" t="str">
        <f t="shared" si="1"/>
        <v/>
      </c>
      <c r="H14" t="str">
        <f t="shared" si="2"/>
        <v/>
      </c>
      <c r="I14" t="str">
        <f>IFERROR(INDEX('5.1 Conjunto Grupos'!$A$2:$A$61,MATCH(D14,'5.1 Conjunto Grupos'!$B$2:$B$61,0)),"")</f>
        <v/>
      </c>
    </row>
    <row r="15" spans="1:9" x14ac:dyDescent="0.35">
      <c r="F15" t="str">
        <f t="shared" si="0"/>
        <v/>
      </c>
      <c r="G15" t="str">
        <f t="shared" si="1"/>
        <v/>
      </c>
      <c r="H15" t="str">
        <f t="shared" si="2"/>
        <v/>
      </c>
      <c r="I15" t="str">
        <f>IFERROR(INDEX('5.1 Conjunto Grupos'!$A$2:$A$61,MATCH(D15,'5.1 Conjunto Grupos'!$B$2:$B$61,0)),"")</f>
        <v/>
      </c>
    </row>
    <row r="16" spans="1:9" x14ac:dyDescent="0.35">
      <c r="F16" t="str">
        <f t="shared" si="0"/>
        <v/>
      </c>
      <c r="G16" t="str">
        <f t="shared" si="1"/>
        <v/>
      </c>
      <c r="H16" t="str">
        <f t="shared" si="2"/>
        <v/>
      </c>
      <c r="I16" t="str">
        <f>IFERROR(INDEX('5.1 Conjunto Grupos'!$A$2:$A$61,MATCH(D16,'5.1 Conjunto Grupos'!$B$2:$B$61,0)),"")</f>
        <v/>
      </c>
    </row>
    <row r="17" spans="6:9" x14ac:dyDescent="0.35">
      <c r="F17" t="str">
        <f t="shared" si="0"/>
        <v/>
      </c>
      <c r="G17" t="str">
        <f t="shared" si="1"/>
        <v/>
      </c>
      <c r="H17" t="str">
        <f t="shared" si="2"/>
        <v/>
      </c>
      <c r="I17" t="str">
        <f>IFERROR(INDEX('5.1 Conjunto Grupos'!$A$2:$A$61,MATCH(D17,'5.1 Conjunto Grupos'!$B$2:$B$61,0)),"")</f>
        <v/>
      </c>
    </row>
    <row r="18" spans="6:9" x14ac:dyDescent="0.35">
      <c r="F18" t="str">
        <f t="shared" si="0"/>
        <v/>
      </c>
      <c r="G18" t="str">
        <f t="shared" si="1"/>
        <v/>
      </c>
      <c r="H18" t="str">
        <f t="shared" si="2"/>
        <v/>
      </c>
      <c r="I18" t="str">
        <f>IFERROR(INDEX('5.1 Conjunto Grupos'!$A$2:$A$61,MATCH(D18,'5.1 Conjunto Grupos'!$B$2:$B$61,0)),"")</f>
        <v/>
      </c>
    </row>
    <row r="19" spans="6:9" x14ac:dyDescent="0.35">
      <c r="F19" t="str">
        <f t="shared" si="0"/>
        <v/>
      </c>
      <c r="G19" t="str">
        <f t="shared" si="1"/>
        <v/>
      </c>
      <c r="H19" t="str">
        <f t="shared" si="2"/>
        <v/>
      </c>
      <c r="I19" t="str">
        <f>IFERROR(INDEX('5.1 Conjunto Grupos'!$A$2:$A$61,MATCH(D19,'5.1 Conjunto Grupos'!$B$2:$B$61,0)),"")</f>
        <v/>
      </c>
    </row>
    <row r="20" spans="6:9" x14ac:dyDescent="0.35">
      <c r="F20" t="str">
        <f t="shared" si="0"/>
        <v/>
      </c>
      <c r="G20" t="str">
        <f t="shared" si="1"/>
        <v/>
      </c>
      <c r="H20" t="str">
        <f t="shared" si="2"/>
        <v/>
      </c>
      <c r="I20" t="str">
        <f>IFERROR(INDEX('5.1 Conjunto Grupos'!$A$2:$A$61,MATCH(D20,'5.1 Conjunto Grupos'!$B$2:$B$61,0)),"")</f>
        <v/>
      </c>
    </row>
    <row r="21" spans="6:9" x14ac:dyDescent="0.35">
      <c r="F21" t="str">
        <f t="shared" si="0"/>
        <v/>
      </c>
      <c r="G21" t="str">
        <f t="shared" si="1"/>
        <v/>
      </c>
      <c r="H21" t="str">
        <f t="shared" si="2"/>
        <v/>
      </c>
      <c r="I21" t="str">
        <f>IFERROR(INDEX('5.1 Conjunto Grupos'!$A$2:$A$61,MATCH(D21,'5.1 Conjunto Grupos'!$B$2:$B$61,0)),"")</f>
        <v/>
      </c>
    </row>
    <row r="22" spans="6:9" x14ac:dyDescent="0.35">
      <c r="F22" t="str">
        <f t="shared" si="0"/>
        <v/>
      </c>
      <c r="G22" t="str">
        <f t="shared" si="1"/>
        <v/>
      </c>
      <c r="H22" t="str">
        <f t="shared" si="2"/>
        <v/>
      </c>
      <c r="I22" t="str">
        <f>IFERROR(INDEX('5.1 Conjunto Grupos'!$A$2:$A$61,MATCH(D22,'5.1 Conjunto Grupos'!$B$2:$B$61,0)),"")</f>
        <v/>
      </c>
    </row>
    <row r="23" spans="6:9" x14ac:dyDescent="0.35">
      <c r="F23" t="str">
        <f t="shared" si="0"/>
        <v/>
      </c>
      <c r="G23" t="str">
        <f t="shared" si="1"/>
        <v/>
      </c>
      <c r="H23" t="str">
        <f t="shared" si="2"/>
        <v/>
      </c>
      <c r="I23" t="str">
        <f>IFERROR(INDEX('5.1 Conjunto Grupos'!$A$2:$A$61,MATCH(D23,'5.1 Conjunto Grupos'!$B$2:$B$61,0)),"")</f>
        <v/>
      </c>
    </row>
    <row r="24" spans="6:9" x14ac:dyDescent="0.35">
      <c r="F24" t="str">
        <f t="shared" si="0"/>
        <v/>
      </c>
      <c r="G24" t="str">
        <f t="shared" si="1"/>
        <v/>
      </c>
      <c r="H24" t="str">
        <f t="shared" si="2"/>
        <v/>
      </c>
      <c r="I24" t="str">
        <f>IFERROR(INDEX('5.1 Conjunto Grupos'!$A$2:$A$61,MATCH(D24,'5.1 Conjunto Grupos'!$B$2:$B$61,0)),"")</f>
        <v/>
      </c>
    </row>
    <row r="25" spans="6:9" x14ac:dyDescent="0.35">
      <c r="F25" t="str">
        <f t="shared" si="0"/>
        <v/>
      </c>
      <c r="G25" t="str">
        <f t="shared" si="1"/>
        <v/>
      </c>
      <c r="H25" t="str">
        <f t="shared" si="2"/>
        <v/>
      </c>
      <c r="I25" t="str">
        <f>IFERROR(INDEX('5.1 Conjunto Grupos'!$A$2:$A$61,MATCH(D25,'5.1 Conjunto Grupos'!$B$2:$B$61,0)),"")</f>
        <v/>
      </c>
    </row>
    <row r="26" spans="6:9" x14ac:dyDescent="0.35">
      <c r="F26" t="str">
        <f t="shared" si="0"/>
        <v/>
      </c>
      <c r="G26" t="str">
        <f t="shared" si="1"/>
        <v/>
      </c>
      <c r="H26" t="str">
        <f t="shared" si="2"/>
        <v/>
      </c>
      <c r="I26" t="str">
        <f>IFERROR(INDEX('5.1 Conjunto Grupos'!$A$2:$A$61,MATCH(D26,'5.1 Conjunto Grupos'!$B$2:$B$61,0)),"")</f>
        <v/>
      </c>
    </row>
    <row r="27" spans="6:9" x14ac:dyDescent="0.35">
      <c r="F27" t="str">
        <f t="shared" si="0"/>
        <v/>
      </c>
      <c r="G27" t="str">
        <f t="shared" si="1"/>
        <v/>
      </c>
      <c r="H27" t="str">
        <f t="shared" si="2"/>
        <v/>
      </c>
      <c r="I27" t="str">
        <f>IFERROR(INDEX('5.1 Conjunto Grupos'!$A$2:$A$61,MATCH(D27,'5.1 Conjunto Grupos'!$B$2:$B$61,0)),"")</f>
        <v/>
      </c>
    </row>
    <row r="28" spans="6:9" x14ac:dyDescent="0.35">
      <c r="F28" t="str">
        <f t="shared" si="0"/>
        <v/>
      </c>
      <c r="G28" t="str">
        <f t="shared" si="1"/>
        <v/>
      </c>
      <c r="H28" t="str">
        <f t="shared" si="2"/>
        <v/>
      </c>
      <c r="I28" t="str">
        <f>IFERROR(INDEX('5.1 Conjunto Grupos'!$A$2:$A$61,MATCH(D28,'5.1 Conjunto Grupos'!$B$2:$B$61,0)),"")</f>
        <v/>
      </c>
    </row>
    <row r="29" spans="6:9" x14ac:dyDescent="0.35">
      <c r="F29" t="str">
        <f t="shared" si="0"/>
        <v/>
      </c>
      <c r="G29" t="str">
        <f t="shared" si="1"/>
        <v/>
      </c>
      <c r="H29" t="str">
        <f t="shared" si="2"/>
        <v/>
      </c>
      <c r="I29" t="str">
        <f>IFERROR(INDEX('5.1 Conjunto Grupos'!$A$2:$A$61,MATCH(D29,'5.1 Conjunto Grupos'!$B$2:$B$61,0)),"")</f>
        <v/>
      </c>
    </row>
    <row r="30" spans="6:9" x14ac:dyDescent="0.35">
      <c r="F30" t="str">
        <f t="shared" si="0"/>
        <v/>
      </c>
      <c r="G30" t="str">
        <f t="shared" si="1"/>
        <v/>
      </c>
      <c r="H30" t="str">
        <f t="shared" si="2"/>
        <v/>
      </c>
      <c r="I30" t="str">
        <f>IFERROR(INDEX('5.1 Conjunto Grupos'!$A$2:$A$61,MATCH(D30,'5.1 Conjunto Grupos'!$B$2:$B$61,0)),"")</f>
        <v/>
      </c>
    </row>
    <row r="31" spans="6:9" x14ac:dyDescent="0.35"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>IFERROR(INDEX('5.1 Conjunto Grupos'!$A$2:$A$61,MATCH(D31,'5.1 Conjunto Grupos'!$B$2:$B$61,0)),"")</f>
        <v/>
      </c>
    </row>
    <row r="32" spans="6:9" x14ac:dyDescent="0.35"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>IFERROR(INDEX('5.1 Conjunto Grupos'!$A$2:$A$61,MATCH(D32,'5.1 Conjunto Grupos'!$B$2:$B$61,0)),"")</f>
        <v/>
      </c>
    </row>
    <row r="33" spans="6:9" x14ac:dyDescent="0.35">
      <c r="F33" t="str">
        <f t="shared" si="0"/>
        <v/>
      </c>
      <c r="G33" t="str">
        <f t="shared" si="1"/>
        <v/>
      </c>
      <c r="H33" t="str">
        <f t="shared" si="2"/>
        <v/>
      </c>
      <c r="I33" t="str">
        <f>IFERROR(INDEX('5.1 Conjunto Grupos'!$A$2:$A$61,MATCH(D33,'5.1 Conjunto Grupos'!$B$2:$B$61,0)),"")</f>
        <v/>
      </c>
    </row>
    <row r="34" spans="6:9" x14ac:dyDescent="0.35">
      <c r="F34" t="str">
        <f t="shared" ref="F34:F61" si="3">IF(A34="","",A34)</f>
        <v/>
      </c>
      <c r="G34" t="str">
        <f t="shared" ref="G34:G61" si="4">IF(B34="","",B34)</f>
        <v/>
      </c>
      <c r="H34" t="str">
        <f t="shared" ref="H34:H61" si="5">IF(C34="Sim","true",IF(C34="Não","false",""))</f>
        <v/>
      </c>
      <c r="I34" t="str">
        <f>IFERROR(INDEX('5.1 Conjunto Grupos'!$A$2:$A$61,MATCH(D34,'5.1 Conjunto Grupos'!$B$2:$B$61,0)),"")</f>
        <v/>
      </c>
    </row>
    <row r="35" spans="6:9" x14ac:dyDescent="0.35">
      <c r="F35" t="str">
        <f t="shared" si="3"/>
        <v/>
      </c>
      <c r="G35" t="str">
        <f t="shared" si="4"/>
        <v/>
      </c>
      <c r="H35" t="str">
        <f t="shared" si="5"/>
        <v/>
      </c>
      <c r="I35" t="str">
        <f>IFERROR(INDEX('5.1 Conjunto Grupos'!$A$2:$A$61,MATCH(D35,'5.1 Conjunto Grupos'!$B$2:$B$61,0)),"")</f>
        <v/>
      </c>
    </row>
    <row r="36" spans="6:9" x14ac:dyDescent="0.35">
      <c r="F36" t="str">
        <f t="shared" si="3"/>
        <v/>
      </c>
      <c r="G36" t="str">
        <f t="shared" si="4"/>
        <v/>
      </c>
      <c r="H36" t="str">
        <f t="shared" si="5"/>
        <v/>
      </c>
      <c r="I36" t="str">
        <f>IFERROR(INDEX('5.1 Conjunto Grupos'!$A$2:$A$61,MATCH(D36,'5.1 Conjunto Grupos'!$B$2:$B$61,0)),"")</f>
        <v/>
      </c>
    </row>
    <row r="37" spans="6:9" x14ac:dyDescent="0.35">
      <c r="F37" t="str">
        <f t="shared" si="3"/>
        <v/>
      </c>
      <c r="G37" t="str">
        <f t="shared" si="4"/>
        <v/>
      </c>
      <c r="H37" t="str">
        <f t="shared" si="5"/>
        <v/>
      </c>
      <c r="I37" t="str">
        <f>IFERROR(INDEX('5.1 Conjunto Grupos'!$A$2:$A$61,MATCH(D37,'5.1 Conjunto Grupos'!$B$2:$B$61,0)),"")</f>
        <v/>
      </c>
    </row>
    <row r="38" spans="6:9" x14ac:dyDescent="0.35">
      <c r="F38" t="str">
        <f t="shared" si="3"/>
        <v/>
      </c>
      <c r="G38" t="str">
        <f t="shared" si="4"/>
        <v/>
      </c>
      <c r="H38" t="str">
        <f t="shared" si="5"/>
        <v/>
      </c>
      <c r="I38" t="str">
        <f>IFERROR(INDEX('5.1 Conjunto Grupos'!$A$2:$A$61,MATCH(D38,'5.1 Conjunto Grupos'!$B$2:$B$61,0)),"")</f>
        <v/>
      </c>
    </row>
    <row r="39" spans="6:9" x14ac:dyDescent="0.35">
      <c r="F39" t="str">
        <f t="shared" si="3"/>
        <v/>
      </c>
      <c r="G39" t="str">
        <f t="shared" si="4"/>
        <v/>
      </c>
      <c r="H39" t="str">
        <f t="shared" si="5"/>
        <v/>
      </c>
      <c r="I39" t="str">
        <f>IFERROR(INDEX('5.1 Conjunto Grupos'!$A$2:$A$61,MATCH(D39,'5.1 Conjunto Grupos'!$B$2:$B$61,0)),"")</f>
        <v/>
      </c>
    </row>
    <row r="40" spans="6:9" x14ac:dyDescent="0.35">
      <c r="F40" t="str">
        <f t="shared" si="3"/>
        <v/>
      </c>
      <c r="G40" t="str">
        <f t="shared" si="4"/>
        <v/>
      </c>
      <c r="H40" t="str">
        <f t="shared" si="5"/>
        <v/>
      </c>
      <c r="I40" t="str">
        <f>IFERROR(INDEX('5.1 Conjunto Grupos'!$A$2:$A$61,MATCH(D40,'5.1 Conjunto Grupos'!$B$2:$B$61,0)),"")</f>
        <v/>
      </c>
    </row>
    <row r="41" spans="6:9" x14ac:dyDescent="0.35">
      <c r="F41" t="str">
        <f t="shared" si="3"/>
        <v/>
      </c>
      <c r="G41" t="str">
        <f t="shared" si="4"/>
        <v/>
      </c>
      <c r="H41" t="str">
        <f t="shared" si="5"/>
        <v/>
      </c>
      <c r="I41" t="str">
        <f>IFERROR(INDEX('5.1 Conjunto Grupos'!$A$2:$A$61,MATCH(D41,'5.1 Conjunto Grupos'!$B$2:$B$61,0)),"")</f>
        <v/>
      </c>
    </row>
    <row r="42" spans="6:9" x14ac:dyDescent="0.35">
      <c r="F42" t="str">
        <f t="shared" si="3"/>
        <v/>
      </c>
      <c r="G42" t="str">
        <f t="shared" si="4"/>
        <v/>
      </c>
      <c r="H42" t="str">
        <f t="shared" si="5"/>
        <v/>
      </c>
      <c r="I42" t="str">
        <f>IFERROR(INDEX('5.1 Conjunto Grupos'!$A$2:$A$61,MATCH(D42,'5.1 Conjunto Grupos'!$B$2:$B$61,0)),"")</f>
        <v/>
      </c>
    </row>
    <row r="43" spans="6:9" x14ac:dyDescent="0.35">
      <c r="F43" t="str">
        <f t="shared" si="3"/>
        <v/>
      </c>
      <c r="G43" t="str">
        <f t="shared" si="4"/>
        <v/>
      </c>
      <c r="H43" t="str">
        <f t="shared" si="5"/>
        <v/>
      </c>
      <c r="I43" t="str">
        <f>IFERROR(INDEX('5.1 Conjunto Grupos'!$A$2:$A$61,MATCH(D43,'5.1 Conjunto Grupos'!$B$2:$B$61,0)),"")</f>
        <v/>
      </c>
    </row>
    <row r="44" spans="6:9" x14ac:dyDescent="0.35">
      <c r="F44" t="str">
        <f t="shared" si="3"/>
        <v/>
      </c>
      <c r="G44" t="str">
        <f t="shared" si="4"/>
        <v/>
      </c>
      <c r="H44" t="str">
        <f t="shared" si="5"/>
        <v/>
      </c>
      <c r="I44" t="str">
        <f>IFERROR(INDEX('5.1 Conjunto Grupos'!$A$2:$A$61,MATCH(D44,'5.1 Conjunto Grupos'!$B$2:$B$61,0)),"")</f>
        <v/>
      </c>
    </row>
    <row r="45" spans="6:9" x14ac:dyDescent="0.35">
      <c r="F45" t="str">
        <f t="shared" si="3"/>
        <v/>
      </c>
      <c r="G45" t="str">
        <f t="shared" si="4"/>
        <v/>
      </c>
      <c r="H45" t="str">
        <f t="shared" si="5"/>
        <v/>
      </c>
      <c r="I45" t="str">
        <f>IFERROR(INDEX('5.1 Conjunto Grupos'!$A$2:$A$61,MATCH(D45,'5.1 Conjunto Grupos'!$B$2:$B$61,0)),"")</f>
        <v/>
      </c>
    </row>
    <row r="46" spans="6:9" x14ac:dyDescent="0.35">
      <c r="F46" t="str">
        <f t="shared" si="3"/>
        <v/>
      </c>
      <c r="G46" t="str">
        <f t="shared" si="4"/>
        <v/>
      </c>
      <c r="H46" t="str">
        <f t="shared" si="5"/>
        <v/>
      </c>
      <c r="I46" t="str">
        <f>IFERROR(INDEX('5.1 Conjunto Grupos'!$A$2:$A$61,MATCH(D46,'5.1 Conjunto Grupos'!$B$2:$B$61,0)),"")</f>
        <v/>
      </c>
    </row>
    <row r="47" spans="6:9" x14ac:dyDescent="0.35">
      <c r="F47" t="str">
        <f t="shared" si="3"/>
        <v/>
      </c>
      <c r="G47" t="str">
        <f t="shared" si="4"/>
        <v/>
      </c>
      <c r="H47" t="str">
        <f t="shared" si="5"/>
        <v/>
      </c>
      <c r="I47" t="str">
        <f>IFERROR(INDEX('5.1 Conjunto Grupos'!$A$2:$A$61,MATCH(D47,'5.1 Conjunto Grupos'!$B$2:$B$61,0)),"")</f>
        <v/>
      </c>
    </row>
    <row r="48" spans="6:9" x14ac:dyDescent="0.35">
      <c r="F48" t="str">
        <f t="shared" si="3"/>
        <v/>
      </c>
      <c r="G48" t="str">
        <f t="shared" si="4"/>
        <v/>
      </c>
      <c r="H48" t="str">
        <f t="shared" si="5"/>
        <v/>
      </c>
      <c r="I48" t="str">
        <f>IFERROR(INDEX('5.1 Conjunto Grupos'!$A$2:$A$61,MATCH(D48,'5.1 Conjunto Grupos'!$B$2:$B$61,0)),"")</f>
        <v/>
      </c>
    </row>
    <row r="49" spans="6:9" x14ac:dyDescent="0.35">
      <c r="F49" t="str">
        <f t="shared" si="3"/>
        <v/>
      </c>
      <c r="G49" t="str">
        <f t="shared" si="4"/>
        <v/>
      </c>
      <c r="H49" t="str">
        <f t="shared" si="5"/>
        <v/>
      </c>
      <c r="I49" t="str">
        <f>IFERROR(INDEX('5.1 Conjunto Grupos'!$A$2:$A$61,MATCH(D49,'5.1 Conjunto Grupos'!$B$2:$B$61,0)),"")</f>
        <v/>
      </c>
    </row>
    <row r="50" spans="6:9" x14ac:dyDescent="0.35">
      <c r="F50" t="str">
        <f t="shared" si="3"/>
        <v/>
      </c>
      <c r="G50" t="str">
        <f t="shared" si="4"/>
        <v/>
      </c>
      <c r="H50" t="str">
        <f t="shared" si="5"/>
        <v/>
      </c>
      <c r="I50" t="str">
        <f>IFERROR(INDEX('5.1 Conjunto Grupos'!$A$2:$A$61,MATCH(D50,'5.1 Conjunto Grupos'!$B$2:$B$61,0)),"")</f>
        <v/>
      </c>
    </row>
    <row r="51" spans="6:9" x14ac:dyDescent="0.35">
      <c r="F51" t="str">
        <f t="shared" si="3"/>
        <v/>
      </c>
      <c r="G51" t="str">
        <f t="shared" si="4"/>
        <v/>
      </c>
      <c r="H51" t="str">
        <f t="shared" si="5"/>
        <v/>
      </c>
      <c r="I51" t="str">
        <f>IFERROR(INDEX('5.1 Conjunto Grupos'!$A$2:$A$61,MATCH(D51,'5.1 Conjunto Grupos'!$B$2:$B$61,0)),"")</f>
        <v/>
      </c>
    </row>
    <row r="52" spans="6:9" x14ac:dyDescent="0.35">
      <c r="F52" t="str">
        <f t="shared" si="3"/>
        <v/>
      </c>
      <c r="G52" t="str">
        <f t="shared" si="4"/>
        <v/>
      </c>
      <c r="H52" t="str">
        <f t="shared" si="5"/>
        <v/>
      </c>
      <c r="I52" t="str">
        <f>IFERROR(INDEX('5.1 Conjunto Grupos'!$A$2:$A$61,MATCH(D52,'5.1 Conjunto Grupos'!$B$2:$B$61,0)),"")</f>
        <v/>
      </c>
    </row>
    <row r="53" spans="6:9" x14ac:dyDescent="0.35">
      <c r="F53" t="str">
        <f t="shared" si="3"/>
        <v/>
      </c>
      <c r="G53" t="str">
        <f t="shared" si="4"/>
        <v/>
      </c>
      <c r="H53" t="str">
        <f t="shared" si="5"/>
        <v/>
      </c>
      <c r="I53" t="str">
        <f>IFERROR(INDEX('5.1 Conjunto Grupos'!$A$2:$A$61,MATCH(D53,'5.1 Conjunto Grupos'!$B$2:$B$61,0)),"")</f>
        <v/>
      </c>
    </row>
    <row r="54" spans="6:9" x14ac:dyDescent="0.35">
      <c r="F54" t="str">
        <f t="shared" si="3"/>
        <v/>
      </c>
      <c r="G54" t="str">
        <f t="shared" si="4"/>
        <v/>
      </c>
      <c r="H54" t="str">
        <f t="shared" si="5"/>
        <v/>
      </c>
      <c r="I54" t="str">
        <f>IFERROR(INDEX('5.1 Conjunto Grupos'!$A$2:$A$61,MATCH(D54,'5.1 Conjunto Grupos'!$B$2:$B$61,0)),"")</f>
        <v/>
      </c>
    </row>
    <row r="55" spans="6:9" x14ac:dyDescent="0.35">
      <c r="F55" t="str">
        <f t="shared" si="3"/>
        <v/>
      </c>
      <c r="G55" t="str">
        <f t="shared" si="4"/>
        <v/>
      </c>
      <c r="H55" t="str">
        <f t="shared" si="5"/>
        <v/>
      </c>
      <c r="I55" t="str">
        <f>IFERROR(INDEX('5.1 Conjunto Grupos'!$A$2:$A$61,MATCH(D55,'5.1 Conjunto Grupos'!$B$2:$B$61,0)),"")</f>
        <v/>
      </c>
    </row>
    <row r="56" spans="6:9" x14ac:dyDescent="0.35">
      <c r="F56" t="str">
        <f t="shared" si="3"/>
        <v/>
      </c>
      <c r="G56" t="str">
        <f t="shared" si="4"/>
        <v/>
      </c>
      <c r="H56" t="str">
        <f t="shared" si="5"/>
        <v/>
      </c>
      <c r="I56" t="str">
        <f>IFERROR(INDEX('5.1 Conjunto Grupos'!$A$2:$A$61,MATCH(D56,'5.1 Conjunto Grupos'!$B$2:$B$61,0)),"")</f>
        <v/>
      </c>
    </row>
    <row r="57" spans="6:9" x14ac:dyDescent="0.35">
      <c r="F57" t="str">
        <f t="shared" si="3"/>
        <v/>
      </c>
      <c r="G57" t="str">
        <f t="shared" si="4"/>
        <v/>
      </c>
      <c r="H57" t="str">
        <f t="shared" si="5"/>
        <v/>
      </c>
      <c r="I57" t="str">
        <f>IFERROR(INDEX('5.1 Conjunto Grupos'!$A$2:$A$61,MATCH(D57,'5.1 Conjunto Grupos'!$B$2:$B$61,0)),"")</f>
        <v/>
      </c>
    </row>
    <row r="58" spans="6:9" x14ac:dyDescent="0.35">
      <c r="F58" t="str">
        <f t="shared" si="3"/>
        <v/>
      </c>
      <c r="G58" t="str">
        <f t="shared" si="4"/>
        <v/>
      </c>
      <c r="H58" t="str">
        <f t="shared" si="5"/>
        <v/>
      </c>
      <c r="I58" t="str">
        <f>IFERROR(INDEX('5.1 Conjunto Grupos'!$A$2:$A$61,MATCH(D58,'5.1 Conjunto Grupos'!$B$2:$B$61,0)),"")</f>
        <v/>
      </c>
    </row>
    <row r="59" spans="6:9" x14ac:dyDescent="0.35">
      <c r="F59" t="str">
        <f t="shared" si="3"/>
        <v/>
      </c>
      <c r="G59" t="str">
        <f t="shared" si="4"/>
        <v/>
      </c>
      <c r="H59" t="str">
        <f t="shared" si="5"/>
        <v/>
      </c>
      <c r="I59" t="str">
        <f>IFERROR(INDEX('5.1 Conjunto Grupos'!$A$2:$A$61,MATCH(D59,'5.1 Conjunto Grupos'!$B$2:$B$61,0)),"")</f>
        <v/>
      </c>
    </row>
    <row r="60" spans="6:9" x14ac:dyDescent="0.35">
      <c r="F60" t="str">
        <f t="shared" si="3"/>
        <v/>
      </c>
      <c r="G60" t="str">
        <f t="shared" si="4"/>
        <v/>
      </c>
      <c r="H60" t="str">
        <f t="shared" si="5"/>
        <v/>
      </c>
      <c r="I60" t="str">
        <f>IFERROR(INDEX('5.1 Conjunto Grupos'!$A$2:$A$61,MATCH(D60,'5.1 Conjunto Grupos'!$B$2:$B$61,0)),"")</f>
        <v/>
      </c>
    </row>
    <row r="61" spans="6:9" x14ac:dyDescent="0.35">
      <c r="F61" t="str">
        <f t="shared" si="3"/>
        <v/>
      </c>
      <c r="G61" t="str">
        <f t="shared" si="4"/>
        <v/>
      </c>
      <c r="H61" t="str">
        <f t="shared" si="5"/>
        <v/>
      </c>
      <c r="I61" t="str">
        <f>IFERROR(INDEX('5.1 Conjunto Grupos'!$A$2:$A$61,MATCH(D61,'5.1 Conjunto Grupos'!$B$2:$B$61,0)),"")</f>
        <v/>
      </c>
    </row>
  </sheetData>
  <autoFilter ref="A1:D1"/>
  <conditionalFormatting sqref="A3:A61">
    <cfRule type="expression" dxfId="8" priority="2">
      <formula>AND($A3="",COUNTA($A3:$D3)&gt;0)</formula>
    </cfRule>
  </conditionalFormatting>
  <conditionalFormatting sqref="B3:B61">
    <cfRule type="expression" dxfId="7" priority="3">
      <formula>AND($B3="",COUNTA($A3:$D3)&gt;0)</formula>
    </cfRule>
  </conditionalFormatting>
  <conditionalFormatting sqref="C3:C61">
    <cfRule type="expression" dxfId="6" priority="4">
      <formula>AND($C3="",COUNTA($A3:$D3)&gt;0)</formula>
    </cfRule>
  </conditionalFormatting>
  <conditionalFormatting sqref="D3:D61">
    <cfRule type="expression" dxfId="5" priority="5">
      <formula>AND($D3="",COUNTA($A3:$D3)&gt;0)</formula>
    </cfRule>
  </conditionalFormatting>
  <dataValidations count="3">
    <dataValidation type="textLength" operator="lessThanOrEqual" allowBlank="1" errorTitle="Texto muito longo" error="Máximo de 50 caracteres" sqref="A2:A61">
      <formula1>50</formula1>
      <formula2>0</formula2>
    </dataValidation>
    <dataValidation type="textLength" operator="lessThanOrEqual" allowBlank="1" errorTitle="Texto muito longo" error="Máximo de 255 caracteres" sqref="B2:B61">
      <formula1>255</formula1>
      <formula2>0</formula2>
    </dataValidation>
    <dataValidation type="list" allowBlank="1" sqref="C2:C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'5.1 Conjunto Grupos'!$B$2:$B$61</xm:f>
          </x14:formula1>
          <x14:formula2>
            <xm:f>0</xm:f>
          </x14:formula2>
          <xm:sqref>D2:D61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95959"/>
  </sheetPr>
  <dimension ref="A1:E61"/>
  <sheetViews>
    <sheetView zoomScaleNormal="100" workbookViewId="0">
      <pane ySplit="1" topLeftCell="A2" activePane="bottomLeft" state="frozen"/>
      <selection pane="bottomLeft" activeCell="F11" sqref="F11"/>
    </sheetView>
  </sheetViews>
  <sheetFormatPr defaultColWidth="8.54296875" defaultRowHeight="14.5" x14ac:dyDescent="0.35"/>
  <cols>
    <col min="1" max="1" width="26" customWidth="1"/>
    <col min="2" max="2" width="18" customWidth="1"/>
    <col min="4" max="5" width="16" hidden="1" customWidth="1"/>
  </cols>
  <sheetData>
    <row r="1" spans="1:5" ht="31.5" customHeight="1" x14ac:dyDescent="0.35">
      <c r="A1" s="18" t="s">
        <v>180</v>
      </c>
      <c r="B1" s="18" t="s">
        <v>223</v>
      </c>
      <c r="D1" s="10" t="s">
        <v>181</v>
      </c>
      <c r="E1" s="10" t="s">
        <v>224</v>
      </c>
    </row>
    <row r="2" spans="1:5" x14ac:dyDescent="0.35">
      <c r="A2" s="11" t="s">
        <v>104</v>
      </c>
      <c r="B2" s="11" t="s">
        <v>222</v>
      </c>
      <c r="D2" t="str">
        <f>IFERROR(INDEX('1.12 Pessoas'!$F$2:$F$61,MATCH(A2,'1.12 Pessoas'!$A$2:$A$61,0)),"")</f>
        <v>PES-001</v>
      </c>
      <c r="E2" t="str">
        <f>IFERROR(INDEX('5.2 Grupos'!$A$2:$A$61,MATCH(B2,'5.2 Grupos'!$B$2:$B$61,0)),"")</f>
        <v>GRP-001</v>
      </c>
    </row>
    <row r="3" spans="1:5" x14ac:dyDescent="0.35">
      <c r="D3" t="str">
        <f>IFERROR(INDEX('1.12 Pessoas'!$F$2:$F$61,MATCH(A3,'1.12 Pessoas'!$A$2:$A$61,0)),"")</f>
        <v/>
      </c>
      <c r="E3" t="str">
        <f>IFERROR(INDEX('5.2 Grupos'!$A$2:$A$61,MATCH(B3,'5.2 Grupos'!$B$2:$B$61,0)),"")</f>
        <v/>
      </c>
    </row>
    <row r="4" spans="1:5" x14ac:dyDescent="0.35">
      <c r="D4" t="str">
        <f>IFERROR(INDEX('1.12 Pessoas'!$F$2:$F$61,MATCH(A4,'1.12 Pessoas'!$A$2:$A$61,0)),"")</f>
        <v/>
      </c>
      <c r="E4" t="str">
        <f>IFERROR(INDEX('5.2 Grupos'!$A$2:$A$61,MATCH(B4,'5.2 Grupos'!$B$2:$B$61,0)),"")</f>
        <v/>
      </c>
    </row>
    <row r="5" spans="1:5" x14ac:dyDescent="0.35">
      <c r="D5" t="str">
        <f>IFERROR(INDEX('1.12 Pessoas'!$F$2:$F$61,MATCH(A5,'1.12 Pessoas'!$A$2:$A$61,0)),"")</f>
        <v/>
      </c>
      <c r="E5" t="str">
        <f>IFERROR(INDEX('5.2 Grupos'!$A$2:$A$61,MATCH(B5,'5.2 Grupos'!$B$2:$B$61,0)),"")</f>
        <v/>
      </c>
    </row>
    <row r="6" spans="1:5" x14ac:dyDescent="0.35">
      <c r="D6" t="str">
        <f>IFERROR(INDEX('1.12 Pessoas'!$F$2:$F$61,MATCH(A6,'1.12 Pessoas'!$A$2:$A$61,0)),"")</f>
        <v/>
      </c>
      <c r="E6" t="str">
        <f>IFERROR(INDEX('5.2 Grupos'!$A$2:$A$61,MATCH(B6,'5.2 Grupos'!$B$2:$B$61,0)),"")</f>
        <v/>
      </c>
    </row>
    <row r="7" spans="1:5" x14ac:dyDescent="0.35">
      <c r="D7" t="str">
        <f>IFERROR(INDEX('1.12 Pessoas'!$F$2:$F$61,MATCH(A7,'1.12 Pessoas'!$A$2:$A$61,0)),"")</f>
        <v/>
      </c>
      <c r="E7" t="str">
        <f>IFERROR(INDEX('5.2 Grupos'!$A$2:$A$61,MATCH(B7,'5.2 Grupos'!$B$2:$B$61,0)),"")</f>
        <v/>
      </c>
    </row>
    <row r="8" spans="1:5" x14ac:dyDescent="0.35">
      <c r="D8" t="str">
        <f>IFERROR(INDEX('1.12 Pessoas'!$F$2:$F$61,MATCH(A8,'1.12 Pessoas'!$A$2:$A$61,0)),"")</f>
        <v/>
      </c>
      <c r="E8" t="str">
        <f>IFERROR(INDEX('5.2 Grupos'!$A$2:$A$61,MATCH(B8,'5.2 Grupos'!$B$2:$B$61,0)),"")</f>
        <v/>
      </c>
    </row>
    <row r="9" spans="1:5" x14ac:dyDescent="0.35">
      <c r="D9" t="str">
        <f>IFERROR(INDEX('1.12 Pessoas'!$F$2:$F$61,MATCH(A9,'1.12 Pessoas'!$A$2:$A$61,0)),"")</f>
        <v/>
      </c>
      <c r="E9" t="str">
        <f>IFERROR(INDEX('5.2 Grupos'!$A$2:$A$61,MATCH(B9,'5.2 Grupos'!$B$2:$B$61,0)),"")</f>
        <v/>
      </c>
    </row>
    <row r="10" spans="1:5" x14ac:dyDescent="0.35">
      <c r="D10" t="str">
        <f>IFERROR(INDEX('1.12 Pessoas'!$F$2:$F$61,MATCH(A10,'1.12 Pessoas'!$A$2:$A$61,0)),"")</f>
        <v/>
      </c>
      <c r="E10" t="str">
        <f>IFERROR(INDEX('5.2 Grupos'!$A$2:$A$61,MATCH(B10,'5.2 Grupos'!$B$2:$B$61,0)),"")</f>
        <v/>
      </c>
    </row>
    <row r="11" spans="1:5" x14ac:dyDescent="0.35">
      <c r="D11" t="str">
        <f>IFERROR(INDEX('1.12 Pessoas'!$F$2:$F$61,MATCH(A11,'1.12 Pessoas'!$A$2:$A$61,0)),"")</f>
        <v/>
      </c>
      <c r="E11" t="str">
        <f>IFERROR(INDEX('5.2 Grupos'!$A$2:$A$61,MATCH(B11,'5.2 Grupos'!$B$2:$B$61,0)),"")</f>
        <v/>
      </c>
    </row>
    <row r="12" spans="1:5" x14ac:dyDescent="0.35">
      <c r="D12" t="str">
        <f>IFERROR(INDEX('1.12 Pessoas'!$F$2:$F$61,MATCH(A12,'1.12 Pessoas'!$A$2:$A$61,0)),"")</f>
        <v/>
      </c>
      <c r="E12" t="str">
        <f>IFERROR(INDEX('5.2 Grupos'!$A$2:$A$61,MATCH(B12,'5.2 Grupos'!$B$2:$B$61,0)),"")</f>
        <v/>
      </c>
    </row>
    <row r="13" spans="1:5" x14ac:dyDescent="0.35">
      <c r="D13" t="str">
        <f>IFERROR(INDEX('1.12 Pessoas'!$F$2:$F$61,MATCH(A13,'1.12 Pessoas'!$A$2:$A$61,0)),"")</f>
        <v/>
      </c>
      <c r="E13" t="str">
        <f>IFERROR(INDEX('5.2 Grupos'!$A$2:$A$61,MATCH(B13,'5.2 Grupos'!$B$2:$B$61,0)),"")</f>
        <v/>
      </c>
    </row>
    <row r="14" spans="1:5" x14ac:dyDescent="0.35">
      <c r="D14" t="str">
        <f>IFERROR(INDEX('1.12 Pessoas'!$F$2:$F$61,MATCH(A14,'1.12 Pessoas'!$A$2:$A$61,0)),"")</f>
        <v/>
      </c>
      <c r="E14" t="str">
        <f>IFERROR(INDEX('5.2 Grupos'!$A$2:$A$61,MATCH(B14,'5.2 Grupos'!$B$2:$B$61,0)),"")</f>
        <v/>
      </c>
    </row>
    <row r="15" spans="1:5" x14ac:dyDescent="0.35">
      <c r="D15" t="str">
        <f>IFERROR(INDEX('1.12 Pessoas'!$F$2:$F$61,MATCH(A15,'1.12 Pessoas'!$A$2:$A$61,0)),"")</f>
        <v/>
      </c>
      <c r="E15" t="str">
        <f>IFERROR(INDEX('5.2 Grupos'!$A$2:$A$61,MATCH(B15,'5.2 Grupos'!$B$2:$B$61,0)),"")</f>
        <v/>
      </c>
    </row>
    <row r="16" spans="1:5" x14ac:dyDescent="0.35">
      <c r="D16" t="str">
        <f>IFERROR(INDEX('1.12 Pessoas'!$F$2:$F$61,MATCH(A16,'1.12 Pessoas'!$A$2:$A$61,0)),"")</f>
        <v/>
      </c>
      <c r="E16" t="str">
        <f>IFERROR(INDEX('5.2 Grupos'!$A$2:$A$61,MATCH(B16,'5.2 Grupos'!$B$2:$B$61,0)),"")</f>
        <v/>
      </c>
    </row>
    <row r="17" spans="4:5" x14ac:dyDescent="0.35">
      <c r="D17" t="str">
        <f>IFERROR(INDEX('1.12 Pessoas'!$F$2:$F$61,MATCH(A17,'1.12 Pessoas'!$A$2:$A$61,0)),"")</f>
        <v/>
      </c>
      <c r="E17" t="str">
        <f>IFERROR(INDEX('5.2 Grupos'!$A$2:$A$61,MATCH(B17,'5.2 Grupos'!$B$2:$B$61,0)),"")</f>
        <v/>
      </c>
    </row>
    <row r="18" spans="4:5" x14ac:dyDescent="0.35">
      <c r="D18" t="str">
        <f>IFERROR(INDEX('1.12 Pessoas'!$F$2:$F$61,MATCH(A18,'1.12 Pessoas'!$A$2:$A$61,0)),"")</f>
        <v/>
      </c>
      <c r="E18" t="str">
        <f>IFERROR(INDEX('5.2 Grupos'!$A$2:$A$61,MATCH(B18,'5.2 Grupos'!$B$2:$B$61,0)),"")</f>
        <v/>
      </c>
    </row>
    <row r="19" spans="4:5" x14ac:dyDescent="0.35">
      <c r="D19" t="str">
        <f>IFERROR(INDEX('1.12 Pessoas'!$F$2:$F$61,MATCH(A19,'1.12 Pessoas'!$A$2:$A$61,0)),"")</f>
        <v/>
      </c>
      <c r="E19" t="str">
        <f>IFERROR(INDEX('5.2 Grupos'!$A$2:$A$61,MATCH(B19,'5.2 Grupos'!$B$2:$B$61,0)),"")</f>
        <v/>
      </c>
    </row>
    <row r="20" spans="4:5" x14ac:dyDescent="0.35">
      <c r="D20" t="str">
        <f>IFERROR(INDEX('1.12 Pessoas'!$F$2:$F$61,MATCH(A20,'1.12 Pessoas'!$A$2:$A$61,0)),"")</f>
        <v/>
      </c>
      <c r="E20" t="str">
        <f>IFERROR(INDEX('5.2 Grupos'!$A$2:$A$61,MATCH(B20,'5.2 Grupos'!$B$2:$B$61,0)),"")</f>
        <v/>
      </c>
    </row>
    <row r="21" spans="4:5" x14ac:dyDescent="0.35">
      <c r="D21" t="str">
        <f>IFERROR(INDEX('1.12 Pessoas'!$F$2:$F$61,MATCH(A21,'1.12 Pessoas'!$A$2:$A$61,0)),"")</f>
        <v/>
      </c>
      <c r="E21" t="str">
        <f>IFERROR(INDEX('5.2 Grupos'!$A$2:$A$61,MATCH(B21,'5.2 Grupos'!$B$2:$B$61,0)),"")</f>
        <v/>
      </c>
    </row>
    <row r="22" spans="4:5" x14ac:dyDescent="0.35">
      <c r="D22" t="str">
        <f>IFERROR(INDEX('1.12 Pessoas'!$F$2:$F$61,MATCH(A22,'1.12 Pessoas'!$A$2:$A$61,0)),"")</f>
        <v/>
      </c>
      <c r="E22" t="str">
        <f>IFERROR(INDEX('5.2 Grupos'!$A$2:$A$61,MATCH(B22,'5.2 Grupos'!$B$2:$B$61,0)),"")</f>
        <v/>
      </c>
    </row>
    <row r="23" spans="4:5" x14ac:dyDescent="0.35">
      <c r="D23" t="str">
        <f>IFERROR(INDEX('1.12 Pessoas'!$F$2:$F$61,MATCH(A23,'1.12 Pessoas'!$A$2:$A$61,0)),"")</f>
        <v/>
      </c>
      <c r="E23" t="str">
        <f>IFERROR(INDEX('5.2 Grupos'!$A$2:$A$61,MATCH(B23,'5.2 Grupos'!$B$2:$B$61,0)),"")</f>
        <v/>
      </c>
    </row>
    <row r="24" spans="4:5" x14ac:dyDescent="0.35">
      <c r="D24" t="str">
        <f>IFERROR(INDEX('1.12 Pessoas'!$F$2:$F$61,MATCH(A24,'1.12 Pessoas'!$A$2:$A$61,0)),"")</f>
        <v/>
      </c>
      <c r="E24" t="str">
        <f>IFERROR(INDEX('5.2 Grupos'!$A$2:$A$61,MATCH(B24,'5.2 Grupos'!$B$2:$B$61,0)),"")</f>
        <v/>
      </c>
    </row>
    <row r="25" spans="4:5" x14ac:dyDescent="0.35">
      <c r="D25" t="str">
        <f>IFERROR(INDEX('1.12 Pessoas'!$F$2:$F$61,MATCH(A25,'1.12 Pessoas'!$A$2:$A$61,0)),"")</f>
        <v/>
      </c>
      <c r="E25" t="str">
        <f>IFERROR(INDEX('5.2 Grupos'!$A$2:$A$61,MATCH(B25,'5.2 Grupos'!$B$2:$B$61,0)),"")</f>
        <v/>
      </c>
    </row>
    <row r="26" spans="4:5" x14ac:dyDescent="0.35">
      <c r="D26" t="str">
        <f>IFERROR(INDEX('1.12 Pessoas'!$F$2:$F$61,MATCH(A26,'1.12 Pessoas'!$A$2:$A$61,0)),"")</f>
        <v/>
      </c>
      <c r="E26" t="str">
        <f>IFERROR(INDEX('5.2 Grupos'!$A$2:$A$61,MATCH(B26,'5.2 Grupos'!$B$2:$B$61,0)),"")</f>
        <v/>
      </c>
    </row>
    <row r="27" spans="4:5" x14ac:dyDescent="0.35">
      <c r="D27" t="str">
        <f>IFERROR(INDEX('1.12 Pessoas'!$F$2:$F$61,MATCH(A27,'1.12 Pessoas'!$A$2:$A$61,0)),"")</f>
        <v/>
      </c>
      <c r="E27" t="str">
        <f>IFERROR(INDEX('5.2 Grupos'!$A$2:$A$61,MATCH(B27,'5.2 Grupos'!$B$2:$B$61,0)),"")</f>
        <v/>
      </c>
    </row>
    <row r="28" spans="4:5" x14ac:dyDescent="0.35">
      <c r="D28" t="str">
        <f>IFERROR(INDEX('1.12 Pessoas'!$F$2:$F$61,MATCH(A28,'1.12 Pessoas'!$A$2:$A$61,0)),"")</f>
        <v/>
      </c>
      <c r="E28" t="str">
        <f>IFERROR(INDEX('5.2 Grupos'!$A$2:$A$61,MATCH(B28,'5.2 Grupos'!$B$2:$B$61,0)),"")</f>
        <v/>
      </c>
    </row>
    <row r="29" spans="4:5" x14ac:dyDescent="0.35">
      <c r="D29" t="str">
        <f>IFERROR(INDEX('1.12 Pessoas'!$F$2:$F$61,MATCH(A29,'1.12 Pessoas'!$A$2:$A$61,0)),"")</f>
        <v/>
      </c>
      <c r="E29" t="str">
        <f>IFERROR(INDEX('5.2 Grupos'!$A$2:$A$61,MATCH(B29,'5.2 Grupos'!$B$2:$B$61,0)),"")</f>
        <v/>
      </c>
    </row>
    <row r="30" spans="4:5" x14ac:dyDescent="0.35">
      <c r="D30" t="str">
        <f>IFERROR(INDEX('1.12 Pessoas'!$F$2:$F$61,MATCH(A30,'1.12 Pessoas'!$A$2:$A$61,0)),"")</f>
        <v/>
      </c>
      <c r="E30" t="str">
        <f>IFERROR(INDEX('5.2 Grupos'!$A$2:$A$61,MATCH(B30,'5.2 Grupos'!$B$2:$B$61,0)),"")</f>
        <v/>
      </c>
    </row>
    <row r="31" spans="4:5" x14ac:dyDescent="0.35">
      <c r="D31" t="str">
        <f>IFERROR(INDEX('1.12 Pessoas'!$F$2:$F$61,MATCH(A31,'1.12 Pessoas'!$A$2:$A$61,0)),"")</f>
        <v/>
      </c>
      <c r="E31" t="str">
        <f>IFERROR(INDEX('5.2 Grupos'!$A$2:$A$61,MATCH(B31,'5.2 Grupos'!$B$2:$B$61,0)),"")</f>
        <v/>
      </c>
    </row>
    <row r="32" spans="4:5" x14ac:dyDescent="0.35">
      <c r="D32" t="str">
        <f>IFERROR(INDEX('1.12 Pessoas'!$F$2:$F$61,MATCH(A32,'1.12 Pessoas'!$A$2:$A$61,0)),"")</f>
        <v/>
      </c>
      <c r="E32" t="str">
        <f>IFERROR(INDEX('5.2 Grupos'!$A$2:$A$61,MATCH(B32,'5.2 Grupos'!$B$2:$B$61,0)),"")</f>
        <v/>
      </c>
    </row>
    <row r="33" spans="4:5" x14ac:dyDescent="0.35">
      <c r="D33" t="str">
        <f>IFERROR(INDEX('1.12 Pessoas'!$F$2:$F$61,MATCH(A33,'1.12 Pessoas'!$A$2:$A$61,0)),"")</f>
        <v/>
      </c>
      <c r="E33" t="str">
        <f>IFERROR(INDEX('5.2 Grupos'!$A$2:$A$61,MATCH(B33,'5.2 Grupos'!$B$2:$B$61,0)),"")</f>
        <v/>
      </c>
    </row>
    <row r="34" spans="4:5" x14ac:dyDescent="0.35">
      <c r="D34" t="str">
        <f>IFERROR(INDEX('1.12 Pessoas'!$F$2:$F$61,MATCH(A34,'1.12 Pessoas'!$A$2:$A$61,0)),"")</f>
        <v/>
      </c>
      <c r="E34" t="str">
        <f>IFERROR(INDEX('5.2 Grupos'!$A$2:$A$61,MATCH(B34,'5.2 Grupos'!$B$2:$B$61,0)),"")</f>
        <v/>
      </c>
    </row>
    <row r="35" spans="4:5" x14ac:dyDescent="0.35">
      <c r="D35" t="str">
        <f>IFERROR(INDEX('1.12 Pessoas'!$F$2:$F$61,MATCH(A35,'1.12 Pessoas'!$A$2:$A$61,0)),"")</f>
        <v/>
      </c>
      <c r="E35" t="str">
        <f>IFERROR(INDEX('5.2 Grupos'!$A$2:$A$61,MATCH(B35,'5.2 Grupos'!$B$2:$B$61,0)),"")</f>
        <v/>
      </c>
    </row>
    <row r="36" spans="4:5" x14ac:dyDescent="0.35">
      <c r="D36" t="str">
        <f>IFERROR(INDEX('1.12 Pessoas'!$F$2:$F$61,MATCH(A36,'1.12 Pessoas'!$A$2:$A$61,0)),"")</f>
        <v/>
      </c>
      <c r="E36" t="str">
        <f>IFERROR(INDEX('5.2 Grupos'!$A$2:$A$61,MATCH(B36,'5.2 Grupos'!$B$2:$B$61,0)),"")</f>
        <v/>
      </c>
    </row>
    <row r="37" spans="4:5" x14ac:dyDescent="0.35">
      <c r="D37" t="str">
        <f>IFERROR(INDEX('1.12 Pessoas'!$F$2:$F$61,MATCH(A37,'1.12 Pessoas'!$A$2:$A$61,0)),"")</f>
        <v/>
      </c>
      <c r="E37" t="str">
        <f>IFERROR(INDEX('5.2 Grupos'!$A$2:$A$61,MATCH(B37,'5.2 Grupos'!$B$2:$B$61,0)),"")</f>
        <v/>
      </c>
    </row>
    <row r="38" spans="4:5" x14ac:dyDescent="0.35">
      <c r="D38" t="str">
        <f>IFERROR(INDEX('1.12 Pessoas'!$F$2:$F$61,MATCH(A38,'1.12 Pessoas'!$A$2:$A$61,0)),"")</f>
        <v/>
      </c>
      <c r="E38" t="str">
        <f>IFERROR(INDEX('5.2 Grupos'!$A$2:$A$61,MATCH(B38,'5.2 Grupos'!$B$2:$B$61,0)),"")</f>
        <v/>
      </c>
    </row>
    <row r="39" spans="4:5" x14ac:dyDescent="0.35">
      <c r="D39" t="str">
        <f>IFERROR(INDEX('1.12 Pessoas'!$F$2:$F$61,MATCH(A39,'1.12 Pessoas'!$A$2:$A$61,0)),"")</f>
        <v/>
      </c>
      <c r="E39" t="str">
        <f>IFERROR(INDEX('5.2 Grupos'!$A$2:$A$61,MATCH(B39,'5.2 Grupos'!$B$2:$B$61,0)),"")</f>
        <v/>
      </c>
    </row>
    <row r="40" spans="4:5" x14ac:dyDescent="0.35">
      <c r="D40" t="str">
        <f>IFERROR(INDEX('1.12 Pessoas'!$F$2:$F$61,MATCH(A40,'1.12 Pessoas'!$A$2:$A$61,0)),"")</f>
        <v/>
      </c>
      <c r="E40" t="str">
        <f>IFERROR(INDEX('5.2 Grupos'!$A$2:$A$61,MATCH(B40,'5.2 Grupos'!$B$2:$B$61,0)),"")</f>
        <v/>
      </c>
    </row>
    <row r="41" spans="4:5" x14ac:dyDescent="0.35">
      <c r="D41" t="str">
        <f>IFERROR(INDEX('1.12 Pessoas'!$F$2:$F$61,MATCH(A41,'1.12 Pessoas'!$A$2:$A$61,0)),"")</f>
        <v/>
      </c>
      <c r="E41" t="str">
        <f>IFERROR(INDEX('5.2 Grupos'!$A$2:$A$61,MATCH(B41,'5.2 Grupos'!$B$2:$B$61,0)),"")</f>
        <v/>
      </c>
    </row>
    <row r="42" spans="4:5" x14ac:dyDescent="0.35">
      <c r="D42" t="str">
        <f>IFERROR(INDEX('1.12 Pessoas'!$F$2:$F$61,MATCH(A42,'1.12 Pessoas'!$A$2:$A$61,0)),"")</f>
        <v/>
      </c>
      <c r="E42" t="str">
        <f>IFERROR(INDEX('5.2 Grupos'!$A$2:$A$61,MATCH(B42,'5.2 Grupos'!$B$2:$B$61,0)),"")</f>
        <v/>
      </c>
    </row>
    <row r="43" spans="4:5" x14ac:dyDescent="0.35">
      <c r="D43" t="str">
        <f>IFERROR(INDEX('1.12 Pessoas'!$F$2:$F$61,MATCH(A43,'1.12 Pessoas'!$A$2:$A$61,0)),"")</f>
        <v/>
      </c>
      <c r="E43" t="str">
        <f>IFERROR(INDEX('5.2 Grupos'!$A$2:$A$61,MATCH(B43,'5.2 Grupos'!$B$2:$B$61,0)),"")</f>
        <v/>
      </c>
    </row>
    <row r="44" spans="4:5" x14ac:dyDescent="0.35">
      <c r="D44" t="str">
        <f>IFERROR(INDEX('1.12 Pessoas'!$F$2:$F$61,MATCH(A44,'1.12 Pessoas'!$A$2:$A$61,0)),"")</f>
        <v/>
      </c>
      <c r="E44" t="str">
        <f>IFERROR(INDEX('5.2 Grupos'!$A$2:$A$61,MATCH(B44,'5.2 Grupos'!$B$2:$B$61,0)),"")</f>
        <v/>
      </c>
    </row>
    <row r="45" spans="4:5" x14ac:dyDescent="0.35">
      <c r="D45" t="str">
        <f>IFERROR(INDEX('1.12 Pessoas'!$F$2:$F$61,MATCH(A45,'1.12 Pessoas'!$A$2:$A$61,0)),"")</f>
        <v/>
      </c>
      <c r="E45" t="str">
        <f>IFERROR(INDEX('5.2 Grupos'!$A$2:$A$61,MATCH(B45,'5.2 Grupos'!$B$2:$B$61,0)),"")</f>
        <v/>
      </c>
    </row>
    <row r="46" spans="4:5" x14ac:dyDescent="0.35">
      <c r="D46" t="str">
        <f>IFERROR(INDEX('1.12 Pessoas'!$F$2:$F$61,MATCH(A46,'1.12 Pessoas'!$A$2:$A$61,0)),"")</f>
        <v/>
      </c>
      <c r="E46" t="str">
        <f>IFERROR(INDEX('5.2 Grupos'!$A$2:$A$61,MATCH(B46,'5.2 Grupos'!$B$2:$B$61,0)),"")</f>
        <v/>
      </c>
    </row>
    <row r="47" spans="4:5" x14ac:dyDescent="0.35">
      <c r="D47" t="str">
        <f>IFERROR(INDEX('1.12 Pessoas'!$F$2:$F$61,MATCH(A47,'1.12 Pessoas'!$A$2:$A$61,0)),"")</f>
        <v/>
      </c>
      <c r="E47" t="str">
        <f>IFERROR(INDEX('5.2 Grupos'!$A$2:$A$61,MATCH(B47,'5.2 Grupos'!$B$2:$B$61,0)),"")</f>
        <v/>
      </c>
    </row>
    <row r="48" spans="4:5" x14ac:dyDescent="0.35">
      <c r="D48" t="str">
        <f>IFERROR(INDEX('1.12 Pessoas'!$F$2:$F$61,MATCH(A48,'1.12 Pessoas'!$A$2:$A$61,0)),"")</f>
        <v/>
      </c>
      <c r="E48" t="str">
        <f>IFERROR(INDEX('5.2 Grupos'!$A$2:$A$61,MATCH(B48,'5.2 Grupos'!$B$2:$B$61,0)),"")</f>
        <v/>
      </c>
    </row>
    <row r="49" spans="4:5" x14ac:dyDescent="0.35">
      <c r="D49" t="str">
        <f>IFERROR(INDEX('1.12 Pessoas'!$F$2:$F$61,MATCH(A49,'1.12 Pessoas'!$A$2:$A$61,0)),"")</f>
        <v/>
      </c>
      <c r="E49" t="str">
        <f>IFERROR(INDEX('5.2 Grupos'!$A$2:$A$61,MATCH(B49,'5.2 Grupos'!$B$2:$B$61,0)),"")</f>
        <v/>
      </c>
    </row>
    <row r="50" spans="4:5" x14ac:dyDescent="0.35">
      <c r="D50" t="str">
        <f>IFERROR(INDEX('1.12 Pessoas'!$F$2:$F$61,MATCH(A50,'1.12 Pessoas'!$A$2:$A$61,0)),"")</f>
        <v/>
      </c>
      <c r="E50" t="str">
        <f>IFERROR(INDEX('5.2 Grupos'!$A$2:$A$61,MATCH(B50,'5.2 Grupos'!$B$2:$B$61,0)),"")</f>
        <v/>
      </c>
    </row>
    <row r="51" spans="4:5" x14ac:dyDescent="0.35">
      <c r="D51" t="str">
        <f>IFERROR(INDEX('1.12 Pessoas'!$F$2:$F$61,MATCH(A51,'1.12 Pessoas'!$A$2:$A$61,0)),"")</f>
        <v/>
      </c>
      <c r="E51" t="str">
        <f>IFERROR(INDEX('5.2 Grupos'!$A$2:$A$61,MATCH(B51,'5.2 Grupos'!$B$2:$B$61,0)),"")</f>
        <v/>
      </c>
    </row>
    <row r="52" spans="4:5" x14ac:dyDescent="0.35">
      <c r="D52" t="str">
        <f>IFERROR(INDEX('1.12 Pessoas'!$F$2:$F$61,MATCH(A52,'1.12 Pessoas'!$A$2:$A$61,0)),"")</f>
        <v/>
      </c>
      <c r="E52" t="str">
        <f>IFERROR(INDEX('5.2 Grupos'!$A$2:$A$61,MATCH(B52,'5.2 Grupos'!$B$2:$B$61,0)),"")</f>
        <v/>
      </c>
    </row>
    <row r="53" spans="4:5" x14ac:dyDescent="0.35">
      <c r="D53" t="str">
        <f>IFERROR(INDEX('1.12 Pessoas'!$F$2:$F$61,MATCH(A53,'1.12 Pessoas'!$A$2:$A$61,0)),"")</f>
        <v/>
      </c>
      <c r="E53" t="str">
        <f>IFERROR(INDEX('5.2 Grupos'!$A$2:$A$61,MATCH(B53,'5.2 Grupos'!$B$2:$B$61,0)),"")</f>
        <v/>
      </c>
    </row>
    <row r="54" spans="4:5" x14ac:dyDescent="0.35">
      <c r="D54" t="str">
        <f>IFERROR(INDEX('1.12 Pessoas'!$F$2:$F$61,MATCH(A54,'1.12 Pessoas'!$A$2:$A$61,0)),"")</f>
        <v/>
      </c>
      <c r="E54" t="str">
        <f>IFERROR(INDEX('5.2 Grupos'!$A$2:$A$61,MATCH(B54,'5.2 Grupos'!$B$2:$B$61,0)),"")</f>
        <v/>
      </c>
    </row>
    <row r="55" spans="4:5" x14ac:dyDescent="0.35">
      <c r="D55" t="str">
        <f>IFERROR(INDEX('1.12 Pessoas'!$F$2:$F$61,MATCH(A55,'1.12 Pessoas'!$A$2:$A$61,0)),"")</f>
        <v/>
      </c>
      <c r="E55" t="str">
        <f>IFERROR(INDEX('5.2 Grupos'!$A$2:$A$61,MATCH(B55,'5.2 Grupos'!$B$2:$B$61,0)),"")</f>
        <v/>
      </c>
    </row>
    <row r="56" spans="4:5" x14ac:dyDescent="0.35">
      <c r="D56" t="str">
        <f>IFERROR(INDEX('1.12 Pessoas'!$F$2:$F$61,MATCH(A56,'1.12 Pessoas'!$A$2:$A$61,0)),"")</f>
        <v/>
      </c>
      <c r="E56" t="str">
        <f>IFERROR(INDEX('5.2 Grupos'!$A$2:$A$61,MATCH(B56,'5.2 Grupos'!$B$2:$B$61,0)),"")</f>
        <v/>
      </c>
    </row>
    <row r="57" spans="4:5" x14ac:dyDescent="0.35">
      <c r="D57" t="str">
        <f>IFERROR(INDEX('1.12 Pessoas'!$F$2:$F$61,MATCH(A57,'1.12 Pessoas'!$A$2:$A$61,0)),"")</f>
        <v/>
      </c>
      <c r="E57" t="str">
        <f>IFERROR(INDEX('5.2 Grupos'!$A$2:$A$61,MATCH(B57,'5.2 Grupos'!$B$2:$B$61,0)),"")</f>
        <v/>
      </c>
    </row>
    <row r="58" spans="4:5" x14ac:dyDescent="0.35">
      <c r="D58" t="str">
        <f>IFERROR(INDEX('1.12 Pessoas'!$F$2:$F$61,MATCH(A58,'1.12 Pessoas'!$A$2:$A$61,0)),"")</f>
        <v/>
      </c>
      <c r="E58" t="str">
        <f>IFERROR(INDEX('5.2 Grupos'!$A$2:$A$61,MATCH(B58,'5.2 Grupos'!$B$2:$B$61,0)),"")</f>
        <v/>
      </c>
    </row>
    <row r="59" spans="4:5" x14ac:dyDescent="0.35">
      <c r="D59" t="str">
        <f>IFERROR(INDEX('1.12 Pessoas'!$F$2:$F$61,MATCH(A59,'1.12 Pessoas'!$A$2:$A$61,0)),"")</f>
        <v/>
      </c>
      <c r="E59" t="str">
        <f>IFERROR(INDEX('5.2 Grupos'!$A$2:$A$61,MATCH(B59,'5.2 Grupos'!$B$2:$B$61,0)),"")</f>
        <v/>
      </c>
    </row>
    <row r="60" spans="4:5" x14ac:dyDescent="0.35">
      <c r="D60" t="str">
        <f>IFERROR(INDEX('1.12 Pessoas'!$F$2:$F$61,MATCH(A60,'1.12 Pessoas'!$A$2:$A$61,0)),"")</f>
        <v/>
      </c>
      <c r="E60" t="str">
        <f>IFERROR(INDEX('5.2 Grupos'!$A$2:$A$61,MATCH(B60,'5.2 Grupos'!$B$2:$B$61,0)),"")</f>
        <v/>
      </c>
    </row>
    <row r="61" spans="4:5" x14ac:dyDescent="0.35">
      <c r="D61" t="str">
        <f>IFERROR(INDEX('1.12 Pessoas'!$F$2:$F$61,MATCH(A61,'1.12 Pessoas'!$A$2:$A$61,0)),"")</f>
        <v/>
      </c>
      <c r="E61" t="str">
        <f>IFERROR(INDEX('5.2 Grupos'!$A$2:$A$61,MATCH(B61,'5.2 Grupos'!$B$2:$B$61,0)),"")</f>
        <v/>
      </c>
    </row>
  </sheetData>
  <autoFilter ref="A1:B1"/>
  <conditionalFormatting sqref="A3:A61">
    <cfRule type="expression" dxfId="4" priority="2">
      <formula>AND($A3="",COUNTA($A3:$B3)&gt;0)</formula>
    </cfRule>
  </conditionalFormatting>
  <conditionalFormatting sqref="B3:B61">
    <cfRule type="expression" dxfId="3" priority="3">
      <formula>AND($B3="",COUNTA($A3:$B3)&gt;0)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'1.12 Pessoas'!$A$2:$A$61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'5.2 Grupos'!$B$2:$B$61</xm:f>
          </x14:formula1>
          <x14:formula2>
            <xm:f>0</xm:f>
          </x14:formula2>
          <xm:sqref>B2:B61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B0000"/>
  </sheetPr>
  <dimension ref="A1:G61"/>
  <sheetViews>
    <sheetView zoomScaleNormal="100" workbookViewId="0">
      <pane ySplit="1" topLeftCell="A2" activePane="bottomLeft" state="frozen"/>
      <selection pane="bottomLeft" activeCell="C3" sqref="C3"/>
    </sheetView>
  </sheetViews>
  <sheetFormatPr defaultColWidth="8.54296875" defaultRowHeight="14.5" x14ac:dyDescent="0.35"/>
  <cols>
    <col min="1" max="1" width="20" customWidth="1"/>
    <col min="2" max="3" width="18" customWidth="1"/>
    <col min="5" max="7" width="16" hidden="1" customWidth="1"/>
  </cols>
  <sheetData>
    <row r="1" spans="1:7" ht="31.5" customHeight="1" x14ac:dyDescent="0.35">
      <c r="A1" s="19" t="s">
        <v>225</v>
      </c>
      <c r="B1" s="19" t="s">
        <v>226</v>
      </c>
      <c r="C1" s="19" t="s">
        <v>227</v>
      </c>
      <c r="E1" s="10" t="s">
        <v>228</v>
      </c>
      <c r="F1" s="10" t="s">
        <v>229</v>
      </c>
      <c r="G1" s="10" t="s">
        <v>230</v>
      </c>
    </row>
    <row r="2" spans="1:7" x14ac:dyDescent="0.35">
      <c r="A2" s="11" t="s">
        <v>231</v>
      </c>
      <c r="B2" s="11" t="s">
        <v>125</v>
      </c>
      <c r="C2" s="11" t="s">
        <v>232</v>
      </c>
      <c r="E2" t="str">
        <f>IFERROR(INDEX(Listas!$AF$2:$AF$23,MATCH(A2,Listas!$AE$2:$AE$23,0)),"")</f>
        <v>course</v>
      </c>
      <c r="F2" t="str">
        <f t="shared" ref="F2:F33" si="0">IF(B2="","",B2)</f>
        <v>CUR-001</v>
      </c>
      <c r="G2" t="str">
        <f t="shared" ref="G2:G33" si="1">IF(C2="","",C2)</f>
        <v>CUR-001-NOVO</v>
      </c>
    </row>
    <row r="3" spans="1:7" x14ac:dyDescent="0.35">
      <c r="E3" t="str">
        <f>IFERROR(INDEX(Listas!$AF$2:$AF$23,MATCH(A3,Listas!$AE$2:$AE$23,0)),"")</f>
        <v/>
      </c>
      <c r="F3" t="str">
        <f t="shared" si="0"/>
        <v/>
      </c>
      <c r="G3" t="str">
        <f t="shared" si="1"/>
        <v/>
      </c>
    </row>
    <row r="4" spans="1:7" x14ac:dyDescent="0.35">
      <c r="E4" t="str">
        <f>IFERROR(INDEX(Listas!$AF$2:$AF$23,MATCH(A4,Listas!$AE$2:$AE$23,0)),"")</f>
        <v/>
      </c>
      <c r="F4" t="str">
        <f t="shared" si="0"/>
        <v/>
      </c>
      <c r="G4" t="str">
        <f t="shared" si="1"/>
        <v/>
      </c>
    </row>
    <row r="5" spans="1:7" x14ac:dyDescent="0.35">
      <c r="E5" t="str">
        <f>IFERROR(INDEX(Listas!$AF$2:$AF$23,MATCH(A5,Listas!$AE$2:$AE$23,0)),"")</f>
        <v/>
      </c>
      <c r="F5" t="str">
        <f t="shared" si="0"/>
        <v/>
      </c>
      <c r="G5" t="str">
        <f t="shared" si="1"/>
        <v/>
      </c>
    </row>
    <row r="6" spans="1:7" x14ac:dyDescent="0.35">
      <c r="E6" t="str">
        <f>IFERROR(INDEX(Listas!$AF$2:$AF$23,MATCH(A6,Listas!$AE$2:$AE$23,0)),"")</f>
        <v/>
      </c>
      <c r="F6" t="str">
        <f t="shared" si="0"/>
        <v/>
      </c>
      <c r="G6" t="str">
        <f t="shared" si="1"/>
        <v/>
      </c>
    </row>
    <row r="7" spans="1:7" x14ac:dyDescent="0.35">
      <c r="E7" t="str">
        <f>IFERROR(INDEX(Listas!$AF$2:$AF$23,MATCH(A7,Listas!$AE$2:$AE$23,0)),"")</f>
        <v/>
      </c>
      <c r="F7" t="str">
        <f t="shared" si="0"/>
        <v/>
      </c>
      <c r="G7" t="str">
        <f t="shared" si="1"/>
        <v/>
      </c>
    </row>
    <row r="8" spans="1:7" x14ac:dyDescent="0.35">
      <c r="E8" t="str">
        <f>IFERROR(INDEX(Listas!$AF$2:$AF$23,MATCH(A8,Listas!$AE$2:$AE$23,0)),"")</f>
        <v/>
      </c>
      <c r="F8" t="str">
        <f t="shared" si="0"/>
        <v/>
      </c>
      <c r="G8" t="str">
        <f t="shared" si="1"/>
        <v/>
      </c>
    </row>
    <row r="9" spans="1:7" x14ac:dyDescent="0.35">
      <c r="E9" t="str">
        <f>IFERROR(INDEX(Listas!$AF$2:$AF$23,MATCH(A9,Listas!$AE$2:$AE$23,0)),"")</f>
        <v/>
      </c>
      <c r="F9" t="str">
        <f t="shared" si="0"/>
        <v/>
      </c>
      <c r="G9" t="str">
        <f t="shared" si="1"/>
        <v/>
      </c>
    </row>
    <row r="10" spans="1:7" x14ac:dyDescent="0.35">
      <c r="E10" t="str">
        <f>IFERROR(INDEX(Listas!$AF$2:$AF$23,MATCH(A10,Listas!$AE$2:$AE$23,0)),"")</f>
        <v/>
      </c>
      <c r="F10" t="str">
        <f t="shared" si="0"/>
        <v/>
      </c>
      <c r="G10" t="str">
        <f t="shared" si="1"/>
        <v/>
      </c>
    </row>
    <row r="11" spans="1:7" x14ac:dyDescent="0.35">
      <c r="E11" t="str">
        <f>IFERROR(INDEX(Listas!$AF$2:$AF$23,MATCH(A11,Listas!$AE$2:$AE$23,0)),"")</f>
        <v/>
      </c>
      <c r="F11" t="str">
        <f t="shared" si="0"/>
        <v/>
      </c>
      <c r="G11" t="str">
        <f t="shared" si="1"/>
        <v/>
      </c>
    </row>
    <row r="12" spans="1:7" x14ac:dyDescent="0.35">
      <c r="E12" t="str">
        <f>IFERROR(INDEX(Listas!$AF$2:$AF$23,MATCH(A12,Listas!$AE$2:$AE$23,0)),"")</f>
        <v/>
      </c>
      <c r="F12" t="str">
        <f t="shared" si="0"/>
        <v/>
      </c>
      <c r="G12" t="str">
        <f t="shared" si="1"/>
        <v/>
      </c>
    </row>
    <row r="13" spans="1:7" x14ac:dyDescent="0.35">
      <c r="E13" t="str">
        <f>IFERROR(INDEX(Listas!$AF$2:$AF$23,MATCH(A13,Listas!$AE$2:$AE$23,0)),"")</f>
        <v/>
      </c>
      <c r="F13" t="str">
        <f t="shared" si="0"/>
        <v/>
      </c>
      <c r="G13" t="str">
        <f t="shared" si="1"/>
        <v/>
      </c>
    </row>
    <row r="14" spans="1:7" x14ac:dyDescent="0.35">
      <c r="E14" t="str">
        <f>IFERROR(INDEX(Listas!$AF$2:$AF$23,MATCH(A14,Listas!$AE$2:$AE$23,0)),"")</f>
        <v/>
      </c>
      <c r="F14" t="str">
        <f t="shared" si="0"/>
        <v/>
      </c>
      <c r="G14" t="str">
        <f t="shared" si="1"/>
        <v/>
      </c>
    </row>
    <row r="15" spans="1:7" x14ac:dyDescent="0.35">
      <c r="E15" t="str">
        <f>IFERROR(INDEX(Listas!$AF$2:$AF$23,MATCH(A15,Listas!$AE$2:$AE$23,0)),"")</f>
        <v/>
      </c>
      <c r="F15" t="str">
        <f t="shared" si="0"/>
        <v/>
      </c>
      <c r="G15" t="str">
        <f t="shared" si="1"/>
        <v/>
      </c>
    </row>
    <row r="16" spans="1:7" x14ac:dyDescent="0.35">
      <c r="E16" t="str">
        <f>IFERROR(INDEX(Listas!$AF$2:$AF$23,MATCH(A16,Listas!$AE$2:$AE$23,0)),"")</f>
        <v/>
      </c>
      <c r="F16" t="str">
        <f t="shared" si="0"/>
        <v/>
      </c>
      <c r="G16" t="str">
        <f t="shared" si="1"/>
        <v/>
      </c>
    </row>
    <row r="17" spans="5:7" x14ac:dyDescent="0.35">
      <c r="E17" t="str">
        <f>IFERROR(INDEX(Listas!$AF$2:$AF$23,MATCH(A17,Listas!$AE$2:$AE$23,0)),"")</f>
        <v/>
      </c>
      <c r="F17" t="str">
        <f t="shared" si="0"/>
        <v/>
      </c>
      <c r="G17" t="str">
        <f t="shared" si="1"/>
        <v/>
      </c>
    </row>
    <row r="18" spans="5:7" x14ac:dyDescent="0.35">
      <c r="E18" t="str">
        <f>IFERROR(INDEX(Listas!$AF$2:$AF$23,MATCH(A18,Listas!$AE$2:$AE$23,0)),"")</f>
        <v/>
      </c>
      <c r="F18" t="str">
        <f t="shared" si="0"/>
        <v/>
      </c>
      <c r="G18" t="str">
        <f t="shared" si="1"/>
        <v/>
      </c>
    </row>
    <row r="19" spans="5:7" x14ac:dyDescent="0.35">
      <c r="E19" t="str">
        <f>IFERROR(INDEX(Listas!$AF$2:$AF$23,MATCH(A19,Listas!$AE$2:$AE$23,0)),"")</f>
        <v/>
      </c>
      <c r="F19" t="str">
        <f t="shared" si="0"/>
        <v/>
      </c>
      <c r="G19" t="str">
        <f t="shared" si="1"/>
        <v/>
      </c>
    </row>
    <row r="20" spans="5:7" x14ac:dyDescent="0.35">
      <c r="E20" t="str">
        <f>IFERROR(INDEX(Listas!$AF$2:$AF$23,MATCH(A20,Listas!$AE$2:$AE$23,0)),"")</f>
        <v/>
      </c>
      <c r="F20" t="str">
        <f t="shared" si="0"/>
        <v/>
      </c>
      <c r="G20" t="str">
        <f t="shared" si="1"/>
        <v/>
      </c>
    </row>
    <row r="21" spans="5:7" x14ac:dyDescent="0.35">
      <c r="E21" t="str">
        <f>IFERROR(INDEX(Listas!$AF$2:$AF$23,MATCH(A21,Listas!$AE$2:$AE$23,0)),"")</f>
        <v/>
      </c>
      <c r="F21" t="str">
        <f t="shared" si="0"/>
        <v/>
      </c>
      <c r="G21" t="str">
        <f t="shared" si="1"/>
        <v/>
      </c>
    </row>
    <row r="22" spans="5:7" x14ac:dyDescent="0.35">
      <c r="E22" t="str">
        <f>IFERROR(INDEX(Listas!$AF$2:$AF$23,MATCH(A22,Listas!$AE$2:$AE$23,0)),"")</f>
        <v/>
      </c>
      <c r="F22" t="str">
        <f t="shared" si="0"/>
        <v/>
      </c>
      <c r="G22" t="str">
        <f t="shared" si="1"/>
        <v/>
      </c>
    </row>
    <row r="23" spans="5:7" x14ac:dyDescent="0.35">
      <c r="E23" t="str">
        <f>IFERROR(INDEX(Listas!$AF$2:$AF$23,MATCH(A23,Listas!$AE$2:$AE$23,0)),"")</f>
        <v/>
      </c>
      <c r="F23" t="str">
        <f t="shared" si="0"/>
        <v/>
      </c>
      <c r="G23" t="str">
        <f t="shared" si="1"/>
        <v/>
      </c>
    </row>
    <row r="24" spans="5:7" x14ac:dyDescent="0.35">
      <c r="E24" t="str">
        <f>IFERROR(INDEX(Listas!$AF$2:$AF$23,MATCH(A24,Listas!$AE$2:$AE$23,0)),"")</f>
        <v/>
      </c>
      <c r="F24" t="str">
        <f t="shared" si="0"/>
        <v/>
      </c>
      <c r="G24" t="str">
        <f t="shared" si="1"/>
        <v/>
      </c>
    </row>
    <row r="25" spans="5:7" x14ac:dyDescent="0.35">
      <c r="E25" t="str">
        <f>IFERROR(INDEX(Listas!$AF$2:$AF$23,MATCH(A25,Listas!$AE$2:$AE$23,0)),"")</f>
        <v/>
      </c>
      <c r="F25" t="str">
        <f t="shared" si="0"/>
        <v/>
      </c>
      <c r="G25" t="str">
        <f t="shared" si="1"/>
        <v/>
      </c>
    </row>
    <row r="26" spans="5:7" x14ac:dyDescent="0.35">
      <c r="E26" t="str">
        <f>IFERROR(INDEX(Listas!$AF$2:$AF$23,MATCH(A26,Listas!$AE$2:$AE$23,0)),"")</f>
        <v/>
      </c>
      <c r="F26" t="str">
        <f t="shared" si="0"/>
        <v/>
      </c>
      <c r="G26" t="str">
        <f t="shared" si="1"/>
        <v/>
      </c>
    </row>
    <row r="27" spans="5:7" x14ac:dyDescent="0.35">
      <c r="E27" t="str">
        <f>IFERROR(INDEX(Listas!$AF$2:$AF$23,MATCH(A27,Listas!$AE$2:$AE$23,0)),"")</f>
        <v/>
      </c>
      <c r="F27" t="str">
        <f t="shared" si="0"/>
        <v/>
      </c>
      <c r="G27" t="str">
        <f t="shared" si="1"/>
        <v/>
      </c>
    </row>
    <row r="28" spans="5:7" x14ac:dyDescent="0.35">
      <c r="E28" t="str">
        <f>IFERROR(INDEX(Listas!$AF$2:$AF$23,MATCH(A28,Listas!$AE$2:$AE$23,0)),"")</f>
        <v/>
      </c>
      <c r="F28" t="str">
        <f t="shared" si="0"/>
        <v/>
      </c>
      <c r="G28" t="str">
        <f t="shared" si="1"/>
        <v/>
      </c>
    </row>
    <row r="29" spans="5:7" x14ac:dyDescent="0.35">
      <c r="E29" t="str">
        <f>IFERROR(INDEX(Listas!$AF$2:$AF$23,MATCH(A29,Listas!$AE$2:$AE$23,0)),"")</f>
        <v/>
      </c>
      <c r="F29" t="str">
        <f t="shared" si="0"/>
        <v/>
      </c>
      <c r="G29" t="str">
        <f t="shared" si="1"/>
        <v/>
      </c>
    </row>
    <row r="30" spans="5:7" x14ac:dyDescent="0.35">
      <c r="E30" t="str">
        <f>IFERROR(INDEX(Listas!$AF$2:$AF$23,MATCH(A30,Listas!$AE$2:$AE$23,0)),"")</f>
        <v/>
      </c>
      <c r="F30" t="str">
        <f t="shared" si="0"/>
        <v/>
      </c>
      <c r="G30" t="str">
        <f t="shared" si="1"/>
        <v/>
      </c>
    </row>
    <row r="31" spans="5:7" x14ac:dyDescent="0.35">
      <c r="E31" t="str">
        <f>IFERROR(INDEX(Listas!$AF$2:$AF$23,MATCH(A31,Listas!$AE$2:$AE$23,0)),"")</f>
        <v/>
      </c>
      <c r="F31" t="str">
        <f t="shared" si="0"/>
        <v/>
      </c>
      <c r="G31" t="str">
        <f t="shared" si="1"/>
        <v/>
      </c>
    </row>
    <row r="32" spans="5:7" x14ac:dyDescent="0.35">
      <c r="E32" t="str">
        <f>IFERROR(INDEX(Listas!$AF$2:$AF$23,MATCH(A32,Listas!$AE$2:$AE$23,0)),"")</f>
        <v/>
      </c>
      <c r="F32" t="str">
        <f t="shared" si="0"/>
        <v/>
      </c>
      <c r="G32" t="str">
        <f t="shared" si="1"/>
        <v/>
      </c>
    </row>
    <row r="33" spans="5:7" x14ac:dyDescent="0.35">
      <c r="E33" t="str">
        <f>IFERROR(INDEX(Listas!$AF$2:$AF$23,MATCH(A33,Listas!$AE$2:$AE$23,0)),"")</f>
        <v/>
      </c>
      <c r="F33" t="str">
        <f t="shared" si="0"/>
        <v/>
      </c>
      <c r="G33" t="str">
        <f t="shared" si="1"/>
        <v/>
      </c>
    </row>
    <row r="34" spans="5:7" x14ac:dyDescent="0.35">
      <c r="E34" t="str">
        <f>IFERROR(INDEX(Listas!$AF$2:$AF$23,MATCH(A34,Listas!$AE$2:$AE$23,0)),"")</f>
        <v/>
      </c>
      <c r="F34" t="str">
        <f t="shared" ref="F34:F61" si="2">IF(B34="","",B34)</f>
        <v/>
      </c>
      <c r="G34" t="str">
        <f t="shared" ref="G34:G61" si="3">IF(C34="","",C34)</f>
        <v/>
      </c>
    </row>
    <row r="35" spans="5:7" x14ac:dyDescent="0.35">
      <c r="E35" t="str">
        <f>IFERROR(INDEX(Listas!$AF$2:$AF$23,MATCH(A35,Listas!$AE$2:$AE$23,0)),"")</f>
        <v/>
      </c>
      <c r="F35" t="str">
        <f t="shared" si="2"/>
        <v/>
      </c>
      <c r="G35" t="str">
        <f t="shared" si="3"/>
        <v/>
      </c>
    </row>
    <row r="36" spans="5:7" x14ac:dyDescent="0.35">
      <c r="E36" t="str">
        <f>IFERROR(INDEX(Listas!$AF$2:$AF$23,MATCH(A36,Listas!$AE$2:$AE$23,0)),"")</f>
        <v/>
      </c>
      <c r="F36" t="str">
        <f t="shared" si="2"/>
        <v/>
      </c>
      <c r="G36" t="str">
        <f t="shared" si="3"/>
        <v/>
      </c>
    </row>
    <row r="37" spans="5:7" x14ac:dyDescent="0.35">
      <c r="E37" t="str">
        <f>IFERROR(INDEX(Listas!$AF$2:$AF$23,MATCH(A37,Listas!$AE$2:$AE$23,0)),"")</f>
        <v/>
      </c>
      <c r="F37" t="str">
        <f t="shared" si="2"/>
        <v/>
      </c>
      <c r="G37" t="str">
        <f t="shared" si="3"/>
        <v/>
      </c>
    </row>
    <row r="38" spans="5:7" x14ac:dyDescent="0.35">
      <c r="E38" t="str">
        <f>IFERROR(INDEX(Listas!$AF$2:$AF$23,MATCH(A38,Listas!$AE$2:$AE$23,0)),"")</f>
        <v/>
      </c>
      <c r="F38" t="str">
        <f t="shared" si="2"/>
        <v/>
      </c>
      <c r="G38" t="str">
        <f t="shared" si="3"/>
        <v/>
      </c>
    </row>
    <row r="39" spans="5:7" x14ac:dyDescent="0.35">
      <c r="E39" t="str">
        <f>IFERROR(INDEX(Listas!$AF$2:$AF$23,MATCH(A39,Listas!$AE$2:$AE$23,0)),"")</f>
        <v/>
      </c>
      <c r="F39" t="str">
        <f t="shared" si="2"/>
        <v/>
      </c>
      <c r="G39" t="str">
        <f t="shared" si="3"/>
        <v/>
      </c>
    </row>
    <row r="40" spans="5:7" x14ac:dyDescent="0.35">
      <c r="E40" t="str">
        <f>IFERROR(INDEX(Listas!$AF$2:$AF$23,MATCH(A40,Listas!$AE$2:$AE$23,0)),"")</f>
        <v/>
      </c>
      <c r="F40" t="str">
        <f t="shared" si="2"/>
        <v/>
      </c>
      <c r="G40" t="str">
        <f t="shared" si="3"/>
        <v/>
      </c>
    </row>
    <row r="41" spans="5:7" x14ac:dyDescent="0.35">
      <c r="E41" t="str">
        <f>IFERROR(INDEX(Listas!$AF$2:$AF$23,MATCH(A41,Listas!$AE$2:$AE$23,0)),"")</f>
        <v/>
      </c>
      <c r="F41" t="str">
        <f t="shared" si="2"/>
        <v/>
      </c>
      <c r="G41" t="str">
        <f t="shared" si="3"/>
        <v/>
      </c>
    </row>
    <row r="42" spans="5:7" x14ac:dyDescent="0.35">
      <c r="E42" t="str">
        <f>IFERROR(INDEX(Listas!$AF$2:$AF$23,MATCH(A42,Listas!$AE$2:$AE$23,0)),"")</f>
        <v/>
      </c>
      <c r="F42" t="str">
        <f t="shared" si="2"/>
        <v/>
      </c>
      <c r="G42" t="str">
        <f t="shared" si="3"/>
        <v/>
      </c>
    </row>
    <row r="43" spans="5:7" x14ac:dyDescent="0.35">
      <c r="E43" t="str">
        <f>IFERROR(INDEX(Listas!$AF$2:$AF$23,MATCH(A43,Listas!$AE$2:$AE$23,0)),"")</f>
        <v/>
      </c>
      <c r="F43" t="str">
        <f t="shared" si="2"/>
        <v/>
      </c>
      <c r="G43" t="str">
        <f t="shared" si="3"/>
        <v/>
      </c>
    </row>
    <row r="44" spans="5:7" x14ac:dyDescent="0.35">
      <c r="E44" t="str">
        <f>IFERROR(INDEX(Listas!$AF$2:$AF$23,MATCH(A44,Listas!$AE$2:$AE$23,0)),"")</f>
        <v/>
      </c>
      <c r="F44" t="str">
        <f t="shared" si="2"/>
        <v/>
      </c>
      <c r="G44" t="str">
        <f t="shared" si="3"/>
        <v/>
      </c>
    </row>
    <row r="45" spans="5:7" x14ac:dyDescent="0.35">
      <c r="E45" t="str">
        <f>IFERROR(INDEX(Listas!$AF$2:$AF$23,MATCH(A45,Listas!$AE$2:$AE$23,0)),"")</f>
        <v/>
      </c>
      <c r="F45" t="str">
        <f t="shared" si="2"/>
        <v/>
      </c>
      <c r="G45" t="str">
        <f t="shared" si="3"/>
        <v/>
      </c>
    </row>
    <row r="46" spans="5:7" x14ac:dyDescent="0.35">
      <c r="E46" t="str">
        <f>IFERROR(INDEX(Listas!$AF$2:$AF$23,MATCH(A46,Listas!$AE$2:$AE$23,0)),"")</f>
        <v/>
      </c>
      <c r="F46" t="str">
        <f t="shared" si="2"/>
        <v/>
      </c>
      <c r="G46" t="str">
        <f t="shared" si="3"/>
        <v/>
      </c>
    </row>
    <row r="47" spans="5:7" x14ac:dyDescent="0.35">
      <c r="E47" t="str">
        <f>IFERROR(INDEX(Listas!$AF$2:$AF$23,MATCH(A47,Listas!$AE$2:$AE$23,0)),"")</f>
        <v/>
      </c>
      <c r="F47" t="str">
        <f t="shared" si="2"/>
        <v/>
      </c>
      <c r="G47" t="str">
        <f t="shared" si="3"/>
        <v/>
      </c>
    </row>
    <row r="48" spans="5:7" x14ac:dyDescent="0.35">
      <c r="E48" t="str">
        <f>IFERROR(INDEX(Listas!$AF$2:$AF$23,MATCH(A48,Listas!$AE$2:$AE$23,0)),"")</f>
        <v/>
      </c>
      <c r="F48" t="str">
        <f t="shared" si="2"/>
        <v/>
      </c>
      <c r="G48" t="str">
        <f t="shared" si="3"/>
        <v/>
      </c>
    </row>
    <row r="49" spans="5:7" x14ac:dyDescent="0.35">
      <c r="E49" t="str">
        <f>IFERROR(INDEX(Listas!$AF$2:$AF$23,MATCH(A49,Listas!$AE$2:$AE$23,0)),"")</f>
        <v/>
      </c>
      <c r="F49" t="str">
        <f t="shared" si="2"/>
        <v/>
      </c>
      <c r="G49" t="str">
        <f t="shared" si="3"/>
        <v/>
      </c>
    </row>
    <row r="50" spans="5:7" x14ac:dyDescent="0.35">
      <c r="E50" t="str">
        <f>IFERROR(INDEX(Listas!$AF$2:$AF$23,MATCH(A50,Listas!$AE$2:$AE$23,0)),"")</f>
        <v/>
      </c>
      <c r="F50" t="str">
        <f t="shared" si="2"/>
        <v/>
      </c>
      <c r="G50" t="str">
        <f t="shared" si="3"/>
        <v/>
      </c>
    </row>
    <row r="51" spans="5:7" x14ac:dyDescent="0.35">
      <c r="E51" t="str">
        <f>IFERROR(INDEX(Listas!$AF$2:$AF$23,MATCH(A51,Listas!$AE$2:$AE$23,0)),"")</f>
        <v/>
      </c>
      <c r="F51" t="str">
        <f t="shared" si="2"/>
        <v/>
      </c>
      <c r="G51" t="str">
        <f t="shared" si="3"/>
        <v/>
      </c>
    </row>
    <row r="52" spans="5:7" x14ac:dyDescent="0.35">
      <c r="E52" t="str">
        <f>IFERROR(INDEX(Listas!$AF$2:$AF$23,MATCH(A52,Listas!$AE$2:$AE$23,0)),"")</f>
        <v/>
      </c>
      <c r="F52" t="str">
        <f t="shared" si="2"/>
        <v/>
      </c>
      <c r="G52" t="str">
        <f t="shared" si="3"/>
        <v/>
      </c>
    </row>
    <row r="53" spans="5:7" x14ac:dyDescent="0.35">
      <c r="E53" t="str">
        <f>IFERROR(INDEX(Listas!$AF$2:$AF$23,MATCH(A53,Listas!$AE$2:$AE$23,0)),"")</f>
        <v/>
      </c>
      <c r="F53" t="str">
        <f t="shared" si="2"/>
        <v/>
      </c>
      <c r="G53" t="str">
        <f t="shared" si="3"/>
        <v/>
      </c>
    </row>
    <row r="54" spans="5:7" x14ac:dyDescent="0.35">
      <c r="E54" t="str">
        <f>IFERROR(INDEX(Listas!$AF$2:$AF$23,MATCH(A54,Listas!$AE$2:$AE$23,0)),"")</f>
        <v/>
      </c>
      <c r="F54" t="str">
        <f t="shared" si="2"/>
        <v/>
      </c>
      <c r="G54" t="str">
        <f t="shared" si="3"/>
        <v/>
      </c>
    </row>
    <row r="55" spans="5:7" x14ac:dyDescent="0.35">
      <c r="E55" t="str">
        <f>IFERROR(INDEX(Listas!$AF$2:$AF$23,MATCH(A55,Listas!$AE$2:$AE$23,0)),"")</f>
        <v/>
      </c>
      <c r="F55" t="str">
        <f t="shared" si="2"/>
        <v/>
      </c>
      <c r="G55" t="str">
        <f t="shared" si="3"/>
        <v/>
      </c>
    </row>
    <row r="56" spans="5:7" x14ac:dyDescent="0.35">
      <c r="E56" t="str">
        <f>IFERROR(INDEX(Listas!$AF$2:$AF$23,MATCH(A56,Listas!$AE$2:$AE$23,0)),"")</f>
        <v/>
      </c>
      <c r="F56" t="str">
        <f t="shared" si="2"/>
        <v/>
      </c>
      <c r="G56" t="str">
        <f t="shared" si="3"/>
        <v/>
      </c>
    </row>
    <row r="57" spans="5:7" x14ac:dyDescent="0.35">
      <c r="E57" t="str">
        <f>IFERROR(INDEX(Listas!$AF$2:$AF$23,MATCH(A57,Listas!$AE$2:$AE$23,0)),"")</f>
        <v/>
      </c>
      <c r="F57" t="str">
        <f t="shared" si="2"/>
        <v/>
      </c>
      <c r="G57" t="str">
        <f t="shared" si="3"/>
        <v/>
      </c>
    </row>
    <row r="58" spans="5:7" x14ac:dyDescent="0.35">
      <c r="E58" t="str">
        <f>IFERROR(INDEX(Listas!$AF$2:$AF$23,MATCH(A58,Listas!$AE$2:$AE$23,0)),"")</f>
        <v/>
      </c>
      <c r="F58" t="str">
        <f t="shared" si="2"/>
        <v/>
      </c>
      <c r="G58" t="str">
        <f t="shared" si="3"/>
        <v/>
      </c>
    </row>
    <row r="59" spans="5:7" x14ac:dyDescent="0.35">
      <c r="E59" t="str">
        <f>IFERROR(INDEX(Listas!$AF$2:$AF$23,MATCH(A59,Listas!$AE$2:$AE$23,0)),"")</f>
        <v/>
      </c>
      <c r="F59" t="str">
        <f t="shared" si="2"/>
        <v/>
      </c>
      <c r="G59" t="str">
        <f t="shared" si="3"/>
        <v/>
      </c>
    </row>
    <row r="60" spans="5:7" x14ac:dyDescent="0.35">
      <c r="E60" t="str">
        <f>IFERROR(INDEX(Listas!$AF$2:$AF$23,MATCH(A60,Listas!$AE$2:$AE$23,0)),"")</f>
        <v/>
      </c>
      <c r="F60" t="str">
        <f t="shared" si="2"/>
        <v/>
      </c>
      <c r="G60" t="str">
        <f t="shared" si="3"/>
        <v/>
      </c>
    </row>
    <row r="61" spans="5:7" x14ac:dyDescent="0.35">
      <c r="E61" t="str">
        <f>IFERROR(INDEX(Listas!$AF$2:$AF$23,MATCH(A61,Listas!$AE$2:$AE$23,0)),"")</f>
        <v/>
      </c>
      <c r="F61" t="str">
        <f t="shared" si="2"/>
        <v/>
      </c>
      <c r="G61" t="str">
        <f t="shared" si="3"/>
        <v/>
      </c>
    </row>
  </sheetData>
  <autoFilter ref="A1:C1"/>
  <conditionalFormatting sqref="A3:A61">
    <cfRule type="expression" dxfId="2" priority="2">
      <formula>AND($A3="",COUNTA($A3:$C3)&gt;0)</formula>
    </cfRule>
  </conditionalFormatting>
  <conditionalFormatting sqref="B3:B61">
    <cfRule type="expression" dxfId="1" priority="3">
      <formula>AND($B3="",COUNTA($A3:$C3)&gt;0)</formula>
    </cfRule>
  </conditionalFormatting>
  <conditionalFormatting sqref="C3:C61">
    <cfRule type="expression" dxfId="0" priority="4">
      <formula>AND($C3="",COUNTA($A3:$C3)&gt;0)</formula>
    </cfRule>
  </conditionalFormatting>
  <dataValidations count="1">
    <dataValidation type="textLength" operator="lessThanOrEqual" allowBlank="1" errorTitle="Texto muito longo" error="Máximo de 50 caracteres" sqref="B2:C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Listas!$AE$2:$AE$23</xm:f>
          </x14:formula1>
          <x14:formula2>
            <xm:f>0</xm:f>
          </x14:formula2>
          <xm:sqref>A2:A61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"/>
  <sheetViews>
    <sheetView zoomScaleNormal="100" workbookViewId="0">
      <selection activeCell="K13" sqref="K13"/>
    </sheetView>
  </sheetViews>
  <sheetFormatPr defaultColWidth="8.54296875" defaultRowHeight="14.5" x14ac:dyDescent="0.35"/>
  <cols>
    <col min="1" max="2" width="20.1796875" bestFit="1" customWidth="1"/>
    <col min="4" max="4" width="39.453125" bestFit="1" customWidth="1"/>
    <col min="5" max="5" width="16.81640625" bestFit="1" customWidth="1"/>
    <col min="7" max="8" width="14.7265625" bestFit="1" customWidth="1"/>
    <col min="10" max="10" width="20.1796875" bestFit="1" customWidth="1"/>
    <col min="11" max="11" width="17.81640625" bestFit="1" customWidth="1"/>
    <col min="13" max="14" width="16.1796875" bestFit="1" customWidth="1"/>
    <col min="16" max="17" width="21.1796875" bestFit="1" customWidth="1"/>
    <col min="19" max="20" width="23.453125" bestFit="1" customWidth="1"/>
    <col min="22" max="23" width="14.81640625" bestFit="1" customWidth="1"/>
    <col min="25" max="26" width="15.54296875" bestFit="1" customWidth="1"/>
    <col min="28" max="29" width="13.1796875" bestFit="1" customWidth="1"/>
    <col min="31" max="31" width="24.7265625" bestFit="1" customWidth="1"/>
    <col min="32" max="32" width="27.1796875" bestFit="1" customWidth="1"/>
  </cols>
  <sheetData>
    <row r="1" spans="1:32" x14ac:dyDescent="0.35">
      <c r="A1" t="s">
        <v>233</v>
      </c>
      <c r="B1" t="s">
        <v>234</v>
      </c>
      <c r="D1" t="s">
        <v>235</v>
      </c>
      <c r="E1" t="s">
        <v>236</v>
      </c>
      <c r="G1" t="s">
        <v>237</v>
      </c>
      <c r="H1" t="s">
        <v>238</v>
      </c>
      <c r="J1" t="s">
        <v>239</v>
      </c>
      <c r="K1" t="s">
        <v>240</v>
      </c>
      <c r="M1" t="s">
        <v>241</v>
      </c>
      <c r="N1" t="s">
        <v>242</v>
      </c>
      <c r="P1" t="s">
        <v>243</v>
      </c>
      <c r="Q1" t="s">
        <v>244</v>
      </c>
      <c r="S1" t="s">
        <v>245</v>
      </c>
      <c r="T1" t="s">
        <v>246</v>
      </c>
      <c r="V1" t="s">
        <v>247</v>
      </c>
      <c r="W1" t="s">
        <v>248</v>
      </c>
      <c r="Y1" t="s">
        <v>249</v>
      </c>
      <c r="Z1" t="s">
        <v>250</v>
      </c>
      <c r="AB1" t="s">
        <v>251</v>
      </c>
      <c r="AC1" t="s">
        <v>252</v>
      </c>
      <c r="AE1" t="s">
        <v>253</v>
      </c>
      <c r="AF1" t="s">
        <v>254</v>
      </c>
    </row>
    <row r="2" spans="1:32" x14ac:dyDescent="0.35">
      <c r="A2" t="s">
        <v>352</v>
      </c>
      <c r="B2" t="s">
        <v>255</v>
      </c>
      <c r="D2" t="s">
        <v>358</v>
      </c>
      <c r="E2" t="s">
        <v>256</v>
      </c>
      <c r="G2" t="s">
        <v>126</v>
      </c>
      <c r="H2" t="s">
        <v>257</v>
      </c>
      <c r="J2" t="s">
        <v>359</v>
      </c>
      <c r="K2" t="s">
        <v>258</v>
      </c>
      <c r="M2" t="s">
        <v>161</v>
      </c>
      <c r="N2" t="s">
        <v>259</v>
      </c>
      <c r="P2" t="s">
        <v>61</v>
      </c>
      <c r="Q2" t="s">
        <v>260</v>
      </c>
      <c r="S2" t="s">
        <v>61</v>
      </c>
      <c r="T2" t="s">
        <v>260</v>
      </c>
      <c r="V2" t="s">
        <v>261</v>
      </c>
      <c r="W2" t="s">
        <v>262</v>
      </c>
      <c r="Y2" t="s">
        <v>179</v>
      </c>
      <c r="Z2" t="s">
        <v>263</v>
      </c>
      <c r="AB2" t="s">
        <v>106</v>
      </c>
      <c r="AC2" t="s">
        <v>106</v>
      </c>
      <c r="AE2" t="s">
        <v>264</v>
      </c>
      <c r="AF2" t="s">
        <v>265</v>
      </c>
    </row>
    <row r="3" spans="1:32" x14ac:dyDescent="0.35">
      <c r="A3" t="s">
        <v>353</v>
      </c>
      <c r="B3" t="s">
        <v>266</v>
      </c>
      <c r="D3" t="s">
        <v>355</v>
      </c>
      <c r="E3" t="s">
        <v>267</v>
      </c>
      <c r="G3" t="s">
        <v>268</v>
      </c>
      <c r="H3" t="s">
        <v>269</v>
      </c>
      <c r="J3" t="s">
        <v>360</v>
      </c>
      <c r="K3" t="s">
        <v>270</v>
      </c>
      <c r="M3" t="s">
        <v>271</v>
      </c>
      <c r="N3" t="s">
        <v>272</v>
      </c>
      <c r="P3" t="s">
        <v>273</v>
      </c>
      <c r="Q3" t="s">
        <v>274</v>
      </c>
      <c r="S3" t="s">
        <v>273</v>
      </c>
      <c r="T3" t="s">
        <v>274</v>
      </c>
      <c r="V3" t="s">
        <v>275</v>
      </c>
      <c r="W3" t="s">
        <v>276</v>
      </c>
      <c r="Y3" t="s">
        <v>277</v>
      </c>
      <c r="Z3" t="s">
        <v>278</v>
      </c>
      <c r="AB3" t="s">
        <v>279</v>
      </c>
      <c r="AC3" t="s">
        <v>279</v>
      </c>
      <c r="AE3" t="s">
        <v>194</v>
      </c>
      <c r="AF3" t="s">
        <v>280</v>
      </c>
    </row>
    <row r="4" spans="1:32" x14ac:dyDescent="0.35">
      <c r="A4" t="s">
        <v>354</v>
      </c>
      <c r="B4" t="s">
        <v>281</v>
      </c>
      <c r="D4" t="s">
        <v>356</v>
      </c>
      <c r="E4" t="s">
        <v>282</v>
      </c>
      <c r="G4" t="s">
        <v>283</v>
      </c>
      <c r="H4" t="s">
        <v>284</v>
      </c>
      <c r="J4" t="s">
        <v>361</v>
      </c>
      <c r="K4" t="s">
        <v>285</v>
      </c>
      <c r="M4" t="s">
        <v>286</v>
      </c>
      <c r="N4" t="s">
        <v>287</v>
      </c>
      <c r="P4" t="s">
        <v>288</v>
      </c>
      <c r="Q4" t="s">
        <v>289</v>
      </c>
      <c r="S4" t="s">
        <v>288</v>
      </c>
      <c r="T4" t="s">
        <v>289</v>
      </c>
      <c r="V4" t="s">
        <v>290</v>
      </c>
      <c r="W4" t="s">
        <v>291</v>
      </c>
      <c r="AB4" t="s">
        <v>52</v>
      </c>
      <c r="AC4" t="s">
        <v>52</v>
      </c>
      <c r="AE4" t="s">
        <v>292</v>
      </c>
      <c r="AF4" t="s">
        <v>293</v>
      </c>
    </row>
    <row r="5" spans="1:32" x14ac:dyDescent="0.35">
      <c r="D5" t="s">
        <v>357</v>
      </c>
      <c r="E5" t="s">
        <v>294</v>
      </c>
      <c r="J5" t="s">
        <v>362</v>
      </c>
      <c r="K5" t="s">
        <v>295</v>
      </c>
      <c r="P5" t="s">
        <v>296</v>
      </c>
      <c r="Q5" t="s">
        <v>297</v>
      </c>
      <c r="V5" t="s">
        <v>298</v>
      </c>
      <c r="W5" t="s">
        <v>299</v>
      </c>
      <c r="AE5" t="s">
        <v>231</v>
      </c>
      <c r="AF5" t="s">
        <v>300</v>
      </c>
    </row>
    <row r="6" spans="1:32" x14ac:dyDescent="0.35">
      <c r="J6" t="s">
        <v>363</v>
      </c>
      <c r="K6" t="s">
        <v>301</v>
      </c>
      <c r="P6" t="s">
        <v>302</v>
      </c>
      <c r="Q6" t="s">
        <v>303</v>
      </c>
      <c r="V6" t="s">
        <v>68</v>
      </c>
      <c r="W6" t="s">
        <v>304</v>
      </c>
      <c r="AE6" t="s">
        <v>305</v>
      </c>
      <c r="AF6" t="s">
        <v>306</v>
      </c>
    </row>
    <row r="7" spans="1:32" x14ac:dyDescent="0.35">
      <c r="J7" t="s">
        <v>364</v>
      </c>
      <c r="K7" t="s">
        <v>307</v>
      </c>
      <c r="V7" t="s">
        <v>308</v>
      </c>
      <c r="W7" t="s">
        <v>309</v>
      </c>
      <c r="AE7" t="s">
        <v>310</v>
      </c>
      <c r="AF7" t="s">
        <v>311</v>
      </c>
    </row>
    <row r="8" spans="1:32" x14ac:dyDescent="0.35">
      <c r="J8" t="s">
        <v>365</v>
      </c>
      <c r="K8" t="s">
        <v>312</v>
      </c>
      <c r="AE8" t="s">
        <v>313</v>
      </c>
      <c r="AF8" t="s">
        <v>314</v>
      </c>
    </row>
    <row r="9" spans="1:32" x14ac:dyDescent="0.35">
      <c r="J9" t="s">
        <v>315</v>
      </c>
      <c r="K9" t="s">
        <v>316</v>
      </c>
      <c r="AE9" t="s">
        <v>317</v>
      </c>
      <c r="AF9" t="s">
        <v>318</v>
      </c>
    </row>
    <row r="10" spans="1:32" x14ac:dyDescent="0.35">
      <c r="J10" t="s">
        <v>366</v>
      </c>
      <c r="K10" t="s">
        <v>319</v>
      </c>
      <c r="AE10" t="s">
        <v>320</v>
      </c>
      <c r="AF10" t="s">
        <v>321</v>
      </c>
    </row>
    <row r="11" spans="1:32" x14ac:dyDescent="0.35">
      <c r="J11" t="s">
        <v>367</v>
      </c>
      <c r="K11" t="s">
        <v>322</v>
      </c>
      <c r="AE11" t="s">
        <v>323</v>
      </c>
      <c r="AF11" t="s">
        <v>324</v>
      </c>
    </row>
    <row r="12" spans="1:32" x14ac:dyDescent="0.35">
      <c r="J12" t="s">
        <v>368</v>
      </c>
      <c r="K12" t="s">
        <v>325</v>
      </c>
      <c r="AE12" t="s">
        <v>326</v>
      </c>
      <c r="AF12" t="s">
        <v>327</v>
      </c>
    </row>
    <row r="13" spans="1:32" x14ac:dyDescent="0.35">
      <c r="J13" t="s">
        <v>369</v>
      </c>
      <c r="K13" t="s">
        <v>328</v>
      </c>
      <c r="AE13" t="s">
        <v>329</v>
      </c>
      <c r="AF13" t="s">
        <v>330</v>
      </c>
    </row>
    <row r="14" spans="1:32" x14ac:dyDescent="0.35">
      <c r="AE14" t="s">
        <v>331</v>
      </c>
      <c r="AF14" t="s">
        <v>332</v>
      </c>
    </row>
    <row r="15" spans="1:32" x14ac:dyDescent="0.35">
      <c r="AE15" t="s">
        <v>333</v>
      </c>
      <c r="AF15" t="s">
        <v>334</v>
      </c>
    </row>
    <row r="16" spans="1:32" x14ac:dyDescent="0.35">
      <c r="AE16" t="s">
        <v>335</v>
      </c>
      <c r="AF16" t="s">
        <v>336</v>
      </c>
    </row>
    <row r="17" spans="31:32" x14ac:dyDescent="0.35">
      <c r="AE17" t="s">
        <v>337</v>
      </c>
      <c r="AF17" t="s">
        <v>338</v>
      </c>
    </row>
    <row r="18" spans="31:32" x14ac:dyDescent="0.35">
      <c r="AE18" t="s">
        <v>339</v>
      </c>
      <c r="AF18" t="s">
        <v>340</v>
      </c>
    </row>
    <row r="19" spans="31:32" x14ac:dyDescent="0.35">
      <c r="AE19" t="s">
        <v>341</v>
      </c>
      <c r="AF19" t="s">
        <v>342</v>
      </c>
    </row>
    <row r="20" spans="31:32" x14ac:dyDescent="0.35">
      <c r="AE20" t="s">
        <v>343</v>
      </c>
      <c r="AF20" t="s">
        <v>344</v>
      </c>
    </row>
    <row r="21" spans="31:32" x14ac:dyDescent="0.35">
      <c r="AE21" t="s">
        <v>345</v>
      </c>
      <c r="AF21" t="s">
        <v>346</v>
      </c>
    </row>
    <row r="22" spans="31:32" x14ac:dyDescent="0.35">
      <c r="AE22" t="s">
        <v>347</v>
      </c>
      <c r="AF22" t="s">
        <v>348</v>
      </c>
    </row>
    <row r="23" spans="31:32" x14ac:dyDescent="0.35">
      <c r="AE23" t="s">
        <v>349</v>
      </c>
      <c r="AF23" t="s">
        <v>350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0.0 Leia-me</vt:lpstr>
      <vt:lpstr>0.1 Parametros</vt:lpstr>
      <vt:lpstr>1.1 Modalidades</vt:lpstr>
      <vt:lpstr>1.2 Niveis Ensino</vt:lpstr>
      <vt:lpstr>1.3 Categorias Disc</vt:lpstr>
      <vt:lpstr>1.4 Turnos</vt:lpstr>
      <vt:lpstr>1.5 Campus</vt:lpstr>
      <vt:lpstr>1.6 Polos</vt:lpstr>
      <vt:lpstr>1.7 Sit Matricula</vt:lpstr>
      <vt:lpstr>1.8 Sit Enturmacao</vt:lpstr>
      <vt:lpstr>1.9 Tipos Matricula</vt:lpstr>
      <vt:lpstr>1.10 Papeis TD</vt:lpstr>
      <vt:lpstr>1.11 Turmas</vt:lpstr>
      <vt:lpstr>1.12 Pessoas</vt:lpstr>
      <vt:lpstr>2.1 Cursos</vt:lpstr>
      <vt:lpstr>2.2 Disciplinas</vt:lpstr>
      <vt:lpstr>2.3 Periodos</vt:lpstr>
      <vt:lpstr>2.4 Curriculos</vt:lpstr>
      <vt:lpstr>2.5 Disc Curriculos</vt:lpstr>
      <vt:lpstr>2.6 Turmas Disc</vt:lpstr>
      <vt:lpstr>3.1 Coordenadores</vt:lpstr>
      <vt:lpstr>3.2 Estudantes</vt:lpstr>
      <vt:lpstr>3.3 Coord Cursos</vt:lpstr>
      <vt:lpstr>3.4 Pessoas TD</vt:lpstr>
      <vt:lpstr>4.1 Grupos Matricula</vt:lpstr>
      <vt:lpstr>4.2 Matriculas</vt:lpstr>
      <vt:lpstr>4.3 Matriculas Periodo</vt:lpstr>
      <vt:lpstr>4.4 Enturmacoes</vt:lpstr>
      <vt:lpstr>5.1 Conjunto Grupos</vt:lpstr>
      <vt:lpstr>5.2 Grupos</vt:lpstr>
      <vt:lpstr>5.3 Pessoas Grupos</vt:lpstr>
      <vt:lpstr>6.1 Alteracao Codigo</vt:lpstr>
      <vt:lpstr>Listas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Edgar</cp:lastModifiedBy>
  <cp:revision>0</cp:revision>
  <dcterms:created xsi:type="dcterms:W3CDTF">2026-09-25T11:22:34Z</dcterms:created>
  <dcterms:modified xsi:type="dcterms:W3CDTF">2026-10-01T22:46:29Z</dcterms:modified>
  <dc:language>en-US</dc:language>
</cp:coreProperties>
</file>